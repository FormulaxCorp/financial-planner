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nsaksi" sheetId="2" state="visible" r:id="rId2"/>
    <sheet name="Budget" sheetId="3" state="visible" r:id="rId3"/>
    <sheet name="Laporan" sheetId="4" state="visible" r:id="rId4"/>
    <sheet name="Pos Uang" sheetId="5" state="visible" r:id="rId5"/>
    <sheet name="Panduan" sheetId="6" state="visible" r:id="rId6"/>
  </sheets>
  <definedNames>
    <definedName name="_xlnm._FilterDatabase" localSheetId="1" hidden="1">'Transaksi'!$A$1:$J$1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18">
    <font>
      <name val="Calibri"/>
      <family val="2"/>
      <color theme="1"/>
      <sz val="11"/>
      <scheme val="minor"/>
    </font>
    <font>
      <name val="Calibri"/>
      <b val="1"/>
      <color rgb="001B1B3A"/>
      <sz val="22"/>
    </font>
    <font>
      <name val="Calibri"/>
      <color rgb="009E9E9E"/>
      <sz val="10"/>
    </font>
    <font>
      <name val="Calibri"/>
      <color rgb="00666666"/>
      <sz val="10"/>
    </font>
    <font>
      <name val="Calibri"/>
      <b val="1"/>
      <color rgb="0000BFA5"/>
      <sz val="18"/>
    </font>
    <font>
      <name val="Calibri"/>
      <b val="1"/>
      <color rgb="004CAF50"/>
      <sz val="18"/>
    </font>
    <font>
      <name val="Calibri"/>
      <b val="1"/>
      <color rgb="00EF5350"/>
      <sz val="18"/>
    </font>
    <font>
      <name val="Calibri"/>
      <b val="1"/>
      <color rgb="00FFB300"/>
      <sz val="18"/>
    </font>
    <font>
      <name val="Calibri"/>
      <b val="1"/>
      <color rgb="001B1B3A"/>
      <sz val="13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333333"/>
      <sz val="11"/>
    </font>
    <font>
      <name val="Calibri"/>
      <b val="1"/>
      <color rgb="00FF7043"/>
      <sz val="14"/>
    </font>
    <font>
      <name val="Calibri"/>
      <i val="1"/>
      <color rgb="009E9E9E"/>
      <sz val="9"/>
    </font>
    <font>
      <name val="Calibri"/>
      <b val="1"/>
      <color rgb="001B1B3A"/>
      <sz val="18"/>
    </font>
    <font>
      <name val="Calibri"/>
      <b val="1"/>
      <color rgb="001B1B3A"/>
      <sz val="11"/>
    </font>
    <font>
      <name val="Calibri"/>
      <b val="1"/>
      <color rgb="0000BFA5"/>
      <sz val="12"/>
    </font>
    <font>
      <name val="Calibri"/>
      <color rgb="00444444"/>
      <sz val="10"/>
    </font>
  </fonts>
  <fills count="13">
    <fill>
      <patternFill/>
    </fill>
    <fill>
      <patternFill patternType="gray125"/>
    </fill>
    <fill>
      <patternFill patternType="solid">
        <fgColor rgb="00F5F5FA"/>
        <bgColor rgb="00F5F5FA"/>
      </patternFill>
    </fill>
    <fill>
      <patternFill patternType="solid">
        <fgColor rgb="00E0F7FA"/>
        <bgColor rgb="00E0F7FA"/>
      </patternFill>
    </fill>
    <fill>
      <patternFill patternType="solid">
        <fgColor rgb="0000BFA5"/>
        <bgColor rgb="0000BFA5"/>
      </patternFill>
    </fill>
    <fill>
      <patternFill patternType="solid">
        <fgColor rgb="00C8E6C9"/>
        <bgColor rgb="00C8E6C9"/>
      </patternFill>
    </fill>
    <fill>
      <patternFill patternType="solid">
        <fgColor rgb="00FFF8E1"/>
        <bgColor rgb="00FFF8E1"/>
      </patternFill>
    </fill>
    <fill>
      <patternFill patternType="solid">
        <fgColor rgb="00FFB300"/>
        <bgColor rgb="00FFB300"/>
      </patternFill>
    </fill>
    <fill>
      <patternFill patternType="solid">
        <fgColor rgb="00E8EAF6"/>
        <bgColor rgb="00E8EAF6"/>
      </patternFill>
    </fill>
    <fill>
      <patternFill patternType="solid">
        <fgColor rgb="002D2D5E"/>
        <bgColor rgb="002D2D5E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vertical="center" wrapText="1"/>
    </xf>
    <xf numFmtId="164" fontId="10" fillId="2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164" fontId="10" fillId="0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164" fontId="12" fillId="5" borderId="1" applyAlignment="1" pivotButton="0" quotePrefix="0" xfId="0">
      <alignment vertical="center" wrapText="1"/>
    </xf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9" fillId="7" borderId="1" applyAlignment="1" pivotButton="0" quotePrefix="0" xfId="0">
      <alignment horizontal="center" vertical="center" wrapText="1"/>
    </xf>
    <xf numFmtId="9" fontId="10" fillId="0" borderId="1" applyAlignment="1" pivotButton="0" quotePrefix="0" xfId="0">
      <alignment vertical="center" wrapText="1"/>
    </xf>
    <xf numFmtId="0" fontId="11" fillId="8" borderId="1" applyAlignment="1" pivotButton="0" quotePrefix="0" xfId="0">
      <alignment vertical="center" wrapText="1"/>
    </xf>
    <xf numFmtId="164" fontId="11" fillId="8" borderId="1" applyAlignment="1" pivotButton="0" quotePrefix="0" xfId="0">
      <alignment vertical="center" wrapText="1"/>
    </xf>
    <xf numFmtId="0" fontId="0" fillId="8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0" fillId="10" borderId="1" pivotButton="0" quotePrefix="0" xfId="0"/>
    <xf numFmtId="164" fontId="11" fillId="5" borderId="1" applyAlignment="1" pivotButton="0" quotePrefix="0" xfId="0">
      <alignment vertical="center" wrapText="1"/>
    </xf>
    <xf numFmtId="0" fontId="8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15" fillId="12" borderId="1" applyAlignment="1" pivotButton="0" quotePrefix="0" xfId="0">
      <alignment vertical="center" wrapText="1"/>
    </xf>
    <xf numFmtId="164" fontId="15" fillId="12" borderId="1" applyAlignment="1" pivotButton="0" quotePrefix="0" xfId="0">
      <alignment vertical="center" wrapText="1"/>
    </xf>
    <xf numFmtId="0" fontId="0" fillId="12" borderId="0" pivotButton="0" quotePrefix="0" xfId="0"/>
    <xf numFmtId="0" fontId="16" fillId="10" borderId="1" applyAlignment="1" pivotButton="0" quotePrefix="0" xfId="0">
      <alignment vertical="center" wrapText="1"/>
    </xf>
    <xf numFmtId="164" fontId="11" fillId="10" borderId="1" applyAlignment="1" pivotButton="0" quotePrefix="0" xfId="0">
      <alignment vertical="center" wrapText="1"/>
    </xf>
    <xf numFmtId="0" fontId="0" fillId="10" borderId="0" pivotButton="0" quotePrefix="0" xfId="0"/>
    <xf numFmtId="0" fontId="11" fillId="2" borderId="1" applyAlignment="1" pivotButton="0" quotePrefix="0" xfId="0">
      <alignment vertical="center" wrapText="1"/>
    </xf>
    <xf numFmtId="0" fontId="0" fillId="2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5" fillId="0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FA5"/>
    <outlinePr summaryBelow="1" summaryRight="1"/>
    <pageSetUpPr/>
  </sheetPr>
  <dimension ref="A1:H3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</cols>
  <sheetData>
    <row r="1" ht="45" customHeight="1">
      <c r="A1" s="1" t="inlineStr">
        <is>
          <t>🏠 Our Financial Planner</t>
        </is>
      </c>
    </row>
    <row r="2">
      <c r="A2" s="2" t="inlineStr">
        <is>
          <t>by Vina, Henry &amp; Hiro — Auto-update via Telegram chat</t>
        </is>
      </c>
    </row>
    <row r="4">
      <c r="A4" s="3" t="inlineStr">
        <is>
          <t>💳 Total Kas</t>
        </is>
      </c>
      <c r="C4" s="3" t="inlineStr">
        <is>
          <t>📈 Pemasukan (Bulan Ini)</t>
        </is>
      </c>
      <c r="E4" s="3" t="inlineStr">
        <is>
          <t>📉 Pengeluaran (Bulan Ini)</t>
        </is>
      </c>
      <c r="G4" s="3" t="inlineStr">
        <is>
          <t>💰 Sisa (Bulan Ini)</t>
        </is>
      </c>
    </row>
    <row r="5">
      <c r="A5" s="4" t="inlineStr">
        <is>
          <t>Rp 0</t>
        </is>
      </c>
      <c r="C5" s="5" t="inlineStr">
        <is>
          <t>Rp 0</t>
        </is>
      </c>
      <c r="E5" s="6" t="inlineStr">
        <is>
          <t>Rp 0</t>
        </is>
      </c>
      <c r="G5" s="7" t="inlineStr">
        <is>
          <t>Rp 0</t>
        </is>
      </c>
    </row>
    <row r="7">
      <c r="A7" s="8" t="inlineStr">
        <is>
          <t>📊 Monitoring Pos Uang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10" t="inlineStr">
        <is>
          <t>Pos Uang</t>
        </is>
      </c>
      <c r="B8" s="10" t="inlineStr">
        <is>
          <t>Saldo</t>
        </is>
      </c>
      <c r="C8" s="10" t="inlineStr">
        <is>
          <t>Target Akhir</t>
        </is>
      </c>
      <c r="D8" s="10" t="inlineStr">
        <is>
          <t>Progress</t>
        </is>
      </c>
      <c r="E8" s="10" t="inlineStr">
        <is>
          <t>Keterangan</t>
        </is>
      </c>
    </row>
    <row r="9">
      <c r="A9" s="11" t="inlineStr">
        <is>
          <t>Blu</t>
        </is>
      </c>
      <c r="B9" s="12" t="n">
        <v>0</v>
      </c>
      <c r="C9" s="11" t="inlineStr"/>
      <c r="D9" s="11" t="inlineStr"/>
      <c r="E9" s="11" t="inlineStr">
        <is>
          <t>Rekening transaksi harian</t>
        </is>
      </c>
    </row>
    <row r="10">
      <c r="A10" s="13" t="inlineStr">
        <is>
          <t>Comfort Life</t>
        </is>
      </c>
      <c r="B10" s="14" t="n">
        <v>0</v>
      </c>
      <c r="C10" s="13" t="inlineStr"/>
      <c r="D10" s="13" t="inlineStr"/>
      <c r="E10" s="13" t="inlineStr">
        <is>
          <t>Dana darurat</t>
        </is>
      </c>
    </row>
    <row r="11">
      <c r="A11" s="11" t="inlineStr">
        <is>
          <t>Hiroshi</t>
        </is>
      </c>
      <c r="B11" s="12" t="n">
        <v>0</v>
      </c>
      <c r="C11" s="11" t="inlineStr"/>
      <c r="D11" s="11" t="inlineStr"/>
      <c r="E11" s="11" t="inlineStr">
        <is>
          <t>Tabungan Hiro</t>
        </is>
      </c>
    </row>
    <row r="12">
      <c r="A12" s="13" t="inlineStr">
        <is>
          <t>Education</t>
        </is>
      </c>
      <c r="B12" s="14" t="n">
        <v>0</v>
      </c>
      <c r="C12" s="13" t="inlineStr"/>
      <c r="D12" s="13" t="inlineStr"/>
      <c r="E12" s="13" t="inlineStr">
        <is>
          <t>Tabungan pendidikan</t>
        </is>
      </c>
    </row>
    <row r="13">
      <c r="A13" s="11" t="inlineStr">
        <is>
          <t>Hiro's Room</t>
        </is>
      </c>
      <c r="B13" s="12" t="n">
        <v>0</v>
      </c>
      <c r="C13" s="11" t="inlineStr"/>
      <c r="D13" s="11" t="inlineStr"/>
      <c r="E13" s="11" t="inlineStr">
        <is>
          <t>Tabungan kamar/ruang Hiro</t>
        </is>
      </c>
    </row>
    <row r="14">
      <c r="A14" s="13" t="inlineStr">
        <is>
          <t>Fidyah</t>
        </is>
      </c>
      <c r="B14" s="14" t="n">
        <v>0</v>
      </c>
      <c r="C14" s="13" t="inlineStr"/>
      <c r="D14" s="13" t="inlineStr"/>
      <c r="E14" s="13" t="inlineStr">
        <is>
          <t>Dana sosial/amal</t>
        </is>
      </c>
    </row>
    <row r="15">
      <c r="A15" s="11" t="inlineStr">
        <is>
          <t>Cash</t>
        </is>
      </c>
      <c r="B15" s="12" t="n">
        <v>0</v>
      </c>
      <c r="C15" s="11" t="inlineStr"/>
      <c r="D15" s="11" t="inlineStr"/>
      <c r="E15" s="11" t="inlineStr">
        <is>
          <t>Uang tunai fisik</t>
        </is>
      </c>
    </row>
    <row r="16">
      <c r="A16" s="13" t="inlineStr">
        <is>
          <t>E-money</t>
        </is>
      </c>
      <c r="B16" s="14" t="n">
        <v>0</v>
      </c>
      <c r="C16" s="13" t="inlineStr"/>
      <c r="D16" s="13" t="inlineStr"/>
      <c r="E16" s="13" t="inlineStr">
        <is>
          <t>GoPay/OVO/dll</t>
        </is>
      </c>
    </row>
    <row r="17">
      <c r="A17" s="15" t="inlineStr">
        <is>
          <t>TOTAL KAS</t>
        </is>
      </c>
      <c r="B17" s="16">
        <f>SUM(B9:B16)</f>
        <v/>
      </c>
      <c r="C17" s="17" t="n"/>
      <c r="D17" s="17" t="n"/>
      <c r="E17" s="17" t="n"/>
    </row>
    <row r="19">
      <c r="A19" s="18" t="inlineStr">
        <is>
          <t>📈 Budget vs Realisasi — Bulan Ini</t>
        </is>
      </c>
      <c r="B19" s="19" t="n"/>
      <c r="C19" s="19" t="n"/>
      <c r="D19" s="19" t="n"/>
      <c r="E19" s="19" t="n"/>
      <c r="F19" s="19" t="n"/>
      <c r="G19" s="19" t="n"/>
      <c r="H19" s="19" t="n"/>
    </row>
    <row r="20">
      <c r="A20" s="20" t="inlineStr">
        <is>
          <t>Kategori</t>
        </is>
      </c>
      <c r="B20" s="20" t="inlineStr">
        <is>
          <t>Budget</t>
        </is>
      </c>
      <c r="C20" s="20" t="inlineStr">
        <is>
          <t>Realisasi</t>
        </is>
      </c>
      <c r="D20" s="20" t="inlineStr">
        <is>
          <t>Sisa</t>
        </is>
      </c>
      <c r="E20" s="20" t="inlineStr">
        <is>
          <t>% Terpakai</t>
        </is>
      </c>
      <c r="F20" s="20" t="inlineStr">
        <is>
          <t>Status</t>
        </is>
      </c>
    </row>
    <row r="21">
      <c r="A21" s="13" t="inlineStr">
        <is>
          <t>Food</t>
        </is>
      </c>
      <c r="B21" s="14" t="n">
        <v>0</v>
      </c>
      <c r="C21" s="14" t="n">
        <v>0</v>
      </c>
      <c r="D21" s="14">
        <f>IF(B21=0,"",B21-C21)</f>
        <v/>
      </c>
      <c r="E21" s="21">
        <f>IF(B21=0,"",C21/B21)</f>
        <v/>
      </c>
      <c r="F21" s="13">
        <f>IF(D21="","",IF(D21&lt;0,"🔴 OVER","✅ AMAN"))</f>
        <v/>
      </c>
    </row>
    <row r="22">
      <c r="A22" s="13" t="inlineStr">
        <is>
          <t>Groceries</t>
        </is>
      </c>
      <c r="B22" s="14" t="n">
        <v>0</v>
      </c>
      <c r="C22" s="14" t="n">
        <v>0</v>
      </c>
      <c r="D22" s="14">
        <f>IF(B22=0,"",B22-C22)</f>
        <v/>
      </c>
      <c r="E22" s="21">
        <f>IF(B22=0,"",C22/B22)</f>
        <v/>
      </c>
      <c r="F22" s="13">
        <f>IF(D22="","",IF(D22&lt;0,"🔴 OVER","✅ AMAN"))</f>
        <v/>
      </c>
    </row>
    <row r="23">
      <c r="A23" s="13" t="inlineStr">
        <is>
          <t>Health &amp; Medical</t>
        </is>
      </c>
      <c r="B23" s="14" t="n">
        <v>0</v>
      </c>
      <c r="C23" s="14" t="n">
        <v>0</v>
      </c>
      <c r="D23" s="14">
        <f>IF(B23=0,"",B23-C23)</f>
        <v/>
      </c>
      <c r="E23" s="21">
        <f>IF(B23=0,"",C23/B23)</f>
        <v/>
      </c>
      <c r="F23" s="13">
        <f>IF(D23="","",IF(D23&lt;0,"🔴 OVER","✅ AMAN"))</f>
        <v/>
      </c>
    </row>
    <row r="24">
      <c r="A24" s="13" t="inlineStr">
        <is>
          <t>Home</t>
        </is>
      </c>
      <c r="B24" s="14" t="n">
        <v>0</v>
      </c>
      <c r="C24" s="14" t="n">
        <v>0</v>
      </c>
      <c r="D24" s="14">
        <f>IF(B24=0,"",B24-C24)</f>
        <v/>
      </c>
      <c r="E24" s="21">
        <f>IF(B24=0,"",C24/B24)</f>
        <v/>
      </c>
      <c r="F24" s="13">
        <f>IF(D24="","",IF(D24&lt;0,"🔴 OVER","✅ AMAN"))</f>
        <v/>
      </c>
    </row>
    <row r="25">
      <c r="A25" s="13" t="inlineStr">
        <is>
          <t>Travel Expenses</t>
        </is>
      </c>
      <c r="B25" s="14" t="n">
        <v>0</v>
      </c>
      <c r="C25" s="14" t="n">
        <v>0</v>
      </c>
      <c r="D25" s="14">
        <f>IF(B25=0,"",B25-C25)</f>
        <v/>
      </c>
      <c r="E25" s="21">
        <f>IF(B25=0,"",C25/B25)</f>
        <v/>
      </c>
      <c r="F25" s="13">
        <f>IF(D25="","",IF(D25&lt;0,"🔴 OVER","✅ AMAN"))</f>
        <v/>
      </c>
    </row>
    <row r="26">
      <c r="A26" s="13" t="inlineStr">
        <is>
          <t>Zakat</t>
        </is>
      </c>
      <c r="B26" s="14" t="n">
        <v>0</v>
      </c>
      <c r="C26" s="14" t="n">
        <v>0</v>
      </c>
      <c r="D26" s="14">
        <f>IF(B26=0,"",B26-C26)</f>
        <v/>
      </c>
      <c r="E26" s="21">
        <f>IF(B26=0,"",C26/B26)</f>
        <v/>
      </c>
      <c r="F26" s="13">
        <f>IF(D26="","",IF(D26&lt;0,"🔴 OVER","✅ AMAN"))</f>
        <v/>
      </c>
    </row>
    <row r="27">
      <c r="A27" s="13" t="inlineStr">
        <is>
          <t>Skin &amp; Body Care</t>
        </is>
      </c>
      <c r="B27" s="14" t="n">
        <v>0</v>
      </c>
      <c r="C27" s="14" t="n">
        <v>0</v>
      </c>
      <c r="D27" s="14">
        <f>IF(B27=0,"",B27-C27)</f>
        <v/>
      </c>
      <c r="E27" s="21">
        <f>IF(B27=0,"",C27/B27)</f>
        <v/>
      </c>
      <c r="F27" s="13">
        <f>IF(D27="","",IF(D27&lt;0,"🔴 OVER","✅ AMAN"))</f>
        <v/>
      </c>
    </row>
    <row r="28">
      <c r="A28" s="13" t="inlineStr">
        <is>
          <t>Entertainment</t>
        </is>
      </c>
      <c r="B28" s="14" t="n">
        <v>0</v>
      </c>
      <c r="C28" s="14" t="n">
        <v>0</v>
      </c>
      <c r="D28" s="14">
        <f>IF(B28=0,"",B28-C28)</f>
        <v/>
      </c>
      <c r="E28" s="21">
        <f>IF(B28=0,"",C28/B28)</f>
        <v/>
      </c>
      <c r="F28" s="13">
        <f>IF(D28="","",IF(D28&lt;0,"🔴 OVER","✅ AMAN"))</f>
        <v/>
      </c>
    </row>
    <row r="29">
      <c r="A29" s="13" t="inlineStr">
        <is>
          <t>Utilities</t>
        </is>
      </c>
      <c r="B29" s="14" t="n">
        <v>0</v>
      </c>
      <c r="C29" s="14" t="n">
        <v>0</v>
      </c>
      <c r="D29" s="14">
        <f>IF(B29=0,"",B29-C29)</f>
        <v/>
      </c>
      <c r="E29" s="21">
        <f>IF(B29=0,"",C29/B29)</f>
        <v/>
      </c>
      <c r="F29" s="13">
        <f>IF(D29="","",IF(D29&lt;0,"🔴 OVER","✅ AMAN"))</f>
        <v/>
      </c>
    </row>
    <row r="30">
      <c r="A30" s="13" t="inlineStr">
        <is>
          <t>Phone Credit</t>
        </is>
      </c>
      <c r="B30" s="14" t="n">
        <v>0</v>
      </c>
      <c r="C30" s="14" t="n">
        <v>0</v>
      </c>
      <c r="D30" s="14">
        <f>IF(B30=0,"",B30-C30)</f>
        <v/>
      </c>
      <c r="E30" s="21">
        <f>IF(B30=0,"",C30/B30)</f>
        <v/>
      </c>
      <c r="F30" s="13">
        <f>IF(D30="","",IF(D30&lt;0,"🔴 OVER","✅ AMAN"))</f>
        <v/>
      </c>
    </row>
    <row r="31">
      <c r="A31" s="13" t="inlineStr">
        <is>
          <t>Admin Fee</t>
        </is>
      </c>
      <c r="B31" s="14" t="n">
        <v>0</v>
      </c>
      <c r="C31" s="14" t="n">
        <v>0</v>
      </c>
      <c r="D31" s="14">
        <f>IF(B31=0,"",B31-C31)</f>
        <v/>
      </c>
      <c r="E31" s="21">
        <f>IF(B31=0,"",C31/B31)</f>
        <v/>
      </c>
      <c r="F31" s="13">
        <f>IF(D31="","",IF(D31&lt;0,"🔴 OVER","✅ AMAN"))</f>
        <v/>
      </c>
    </row>
    <row r="32">
      <c r="A32" s="13" t="inlineStr">
        <is>
          <t>Mpi's</t>
        </is>
      </c>
      <c r="B32" s="14" t="n">
        <v>0</v>
      </c>
      <c r="C32" s="14" t="n">
        <v>0</v>
      </c>
      <c r="D32" s="14">
        <f>IF(B32=0,"",B32-C32)</f>
        <v/>
      </c>
      <c r="E32" s="21">
        <f>IF(B32=0,"",C32/B32)</f>
        <v/>
      </c>
      <c r="F32" s="13">
        <f>IF(D32="","",IF(D32&lt;0,"🔴 OVER","✅ AMAN"))</f>
        <v/>
      </c>
    </row>
    <row r="33">
      <c r="A33" s="13" t="inlineStr">
        <is>
          <t>Hiroshi's</t>
        </is>
      </c>
      <c r="B33" s="14" t="n">
        <v>0</v>
      </c>
      <c r="C33" s="14" t="n">
        <v>0</v>
      </c>
      <c r="D33" s="14">
        <f>IF(B33=0,"",B33-C33)</f>
        <v/>
      </c>
      <c r="E33" s="21">
        <f>IF(B33=0,"",C33/B33)</f>
        <v/>
      </c>
      <c r="F33" s="13">
        <f>IF(D33="","",IF(D33&lt;0,"🔴 OVER","✅ AMAN"))</f>
        <v/>
      </c>
    </row>
    <row r="34">
      <c r="A34" s="13" t="inlineStr">
        <is>
          <t>Henry's</t>
        </is>
      </c>
      <c r="B34" s="14" t="n">
        <v>0</v>
      </c>
      <c r="C34" s="14" t="n">
        <v>0</v>
      </c>
      <c r="D34" s="14">
        <f>IF(B34=0,"",B34-C34)</f>
        <v/>
      </c>
      <c r="E34" s="21">
        <f>IF(B34=0,"",C34/B34)</f>
        <v/>
      </c>
      <c r="F34" s="13">
        <f>IF(D34="","",IF(D34&lt;0,"🔴 OVER","✅ AMAN"))</f>
        <v/>
      </c>
    </row>
    <row r="35">
      <c r="A35" s="13" t="inlineStr">
        <is>
          <t>Gifts</t>
        </is>
      </c>
      <c r="B35" s="14" t="n">
        <v>0</v>
      </c>
      <c r="C35" s="14" t="n">
        <v>0</v>
      </c>
      <c r="D35" s="14">
        <f>IF(B35=0,"",B35-C35)</f>
        <v/>
      </c>
      <c r="E35" s="21">
        <f>IF(B35=0,"",C35/B35)</f>
        <v/>
      </c>
      <c r="F35" s="13">
        <f>IF(D35="","",IF(D35&lt;0,"🔴 OVER","✅ AMAN"))</f>
        <v/>
      </c>
    </row>
    <row r="36">
      <c r="A36" s="13" t="inlineStr">
        <is>
          <t>Public Transportation</t>
        </is>
      </c>
      <c r="B36" s="14" t="n">
        <v>0</v>
      </c>
      <c r="C36" s="14" t="n">
        <v>0</v>
      </c>
      <c r="D36" s="14">
        <f>IF(B36=0,"",B36-C36)</f>
        <v/>
      </c>
      <c r="E36" s="21">
        <f>IF(B36=0,"",C36/B36)</f>
        <v/>
      </c>
      <c r="F36" s="13">
        <f>IF(D36="","",IF(D36&lt;0,"🔴 OVER","✅ AMAN"))</f>
        <v/>
      </c>
    </row>
    <row r="37">
      <c r="A37" s="13" t="inlineStr">
        <is>
          <t>Event</t>
        </is>
      </c>
      <c r="B37" s="14" t="n">
        <v>0</v>
      </c>
      <c r="C37" s="14" t="n">
        <v>0</v>
      </c>
      <c r="D37" s="14">
        <f>IF(B37=0,"",B37-C37)</f>
        <v/>
      </c>
      <c r="E37" s="21">
        <f>IF(B37=0,"",C37/B37)</f>
        <v/>
      </c>
      <c r="F37" s="13">
        <f>IF(D37="","",IF(D37&lt;0,"🔴 OVER","✅ AMAN"))</f>
        <v/>
      </c>
    </row>
    <row r="38">
      <c r="A38" s="13" t="inlineStr">
        <is>
          <t>Other</t>
        </is>
      </c>
      <c r="B38" s="14" t="n">
        <v>0</v>
      </c>
      <c r="C38" s="14" t="n">
        <v>0</v>
      </c>
      <c r="D38" s="14">
        <f>IF(B38=0,"",B38-C38)</f>
        <v/>
      </c>
      <c r="E38" s="21">
        <f>IF(B38=0,"",C38/B38)</f>
        <v/>
      </c>
      <c r="F38" s="13">
        <f>IF(D38="","",IF(D38&lt;0,"🔴 OVER","✅ AMAN"))</f>
        <v/>
      </c>
    </row>
    <row r="39">
      <c r="A39" s="22" t="inlineStr">
        <is>
          <t>TOTAL</t>
        </is>
      </c>
      <c r="B39" s="23">
        <f>SUM(B21:B38)</f>
        <v/>
      </c>
      <c r="C39" s="23">
        <f>SUM(C21:C38)</f>
        <v/>
      </c>
      <c r="D39" s="23">
        <f>SUM(D21:D38)</f>
        <v/>
      </c>
      <c r="E39" s="24" t="n"/>
      <c r="F39" s="24" t="n"/>
    </row>
  </sheetData>
  <mergeCells count="12">
    <mergeCell ref="A4:B4"/>
    <mergeCell ref="G4:H4"/>
    <mergeCell ref="E4:F4"/>
    <mergeCell ref="A7:H7"/>
    <mergeCell ref="A2:H2"/>
    <mergeCell ref="C5:D5"/>
    <mergeCell ref="A5:B5"/>
    <mergeCell ref="G5:H5"/>
    <mergeCell ref="E5:F5"/>
    <mergeCell ref="A19:H19"/>
    <mergeCell ref="A1:H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2A5F5"/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8" customWidth="1" min="4" max="4"/>
    <col width="30" customWidth="1" min="5" max="5"/>
    <col width="14" customWidth="1" min="6" max="6"/>
    <col width="16" customWidth="1" min="7" max="7"/>
    <col width="16" customWidth="1" min="8" max="8"/>
    <col width="14" customWidth="1" min="9" max="9"/>
    <col width="12" customWidth="1" min="10" max="10"/>
  </cols>
  <sheetData>
    <row r="1">
      <c r="A1" s="25" t="inlineStr">
        <is>
          <t>ID</t>
        </is>
      </c>
      <c r="B1" s="25" t="inlineStr">
        <is>
          <t>Tanggal</t>
        </is>
      </c>
      <c r="C1" s="25" t="inlineStr">
        <is>
          <t>Jenis</t>
        </is>
      </c>
      <c r="D1" s="25" t="inlineStr">
        <is>
          <t>Kategori</t>
        </is>
      </c>
      <c r="E1" s="25" t="inlineStr">
        <is>
          <t>Keterangan</t>
        </is>
      </c>
      <c r="F1" s="25" t="inlineStr">
        <is>
          <t>Nominal</t>
        </is>
      </c>
      <c r="G1" s="25" t="inlineStr">
        <is>
          <t>Pos Asal</t>
        </is>
      </c>
      <c r="H1" s="25" t="inlineStr">
        <is>
          <t>Pos Tujuan</t>
        </is>
      </c>
      <c r="I1" s="25" t="inlineStr">
        <is>
          <t>Input</t>
        </is>
      </c>
      <c r="J1" s="25" t="inlineStr">
        <is>
          <t>Oleh</t>
        </is>
      </c>
    </row>
    <row r="2">
      <c r="A2" s="26" t="inlineStr">
        <is>
          <t>✅ Input via chat Telegram. Bisa edit entri via chat juga. Jangan edit header.</t>
        </is>
      </c>
    </row>
    <row r="3">
      <c r="A3" s="13" t="n">
        <v>1</v>
      </c>
      <c r="B3" s="13" t="inlineStr">
        <is>
          <t>1-Jun-26</t>
        </is>
      </c>
      <c r="C3" s="13" t="inlineStr">
        <is>
          <t>Masuk</t>
        </is>
      </c>
      <c r="D3" s="13" t="inlineStr">
        <is>
          <t>Paycheck</t>
        </is>
      </c>
      <c r="E3" s="13" t="inlineStr">
        <is>
          <t>Gaji Mei 2026</t>
        </is>
      </c>
      <c r="F3" s="14" t="n">
        <v>5200000</v>
      </c>
      <c r="G3" s="13" t="inlineStr">
        <is>
          <t>Blu</t>
        </is>
      </c>
      <c r="H3" s="13" t="inlineStr"/>
      <c r="I3" s="13" t="inlineStr">
        <is>
          <t>Chat (manual)</t>
        </is>
      </c>
      <c r="J3" s="13" t="inlineStr">
        <is>
          <t>Vina</t>
        </is>
      </c>
    </row>
    <row r="4">
      <c r="A4" s="13" t="n">
        <v>2</v>
      </c>
      <c r="B4" s="13" t="inlineStr">
        <is>
          <t>1-Jun-26</t>
        </is>
      </c>
      <c r="C4" s="13" t="inlineStr">
        <is>
          <t>Keluar</t>
        </is>
      </c>
      <c r="D4" s="13" t="inlineStr">
        <is>
          <t>Food</t>
        </is>
      </c>
      <c r="E4" s="13" t="inlineStr">
        <is>
          <t>Paketan Vina</t>
        </is>
      </c>
      <c r="F4" s="14" t="n">
        <v>38000</v>
      </c>
      <c r="G4" s="13" t="inlineStr">
        <is>
          <t>Blu</t>
        </is>
      </c>
      <c r="H4" s="13" t="inlineStr"/>
      <c r="I4" s="13" t="inlineStr">
        <is>
          <t>Chat (manual)</t>
        </is>
      </c>
      <c r="J4" s="13" t="inlineStr">
        <is>
          <t>Vina</t>
        </is>
      </c>
    </row>
    <row r="5">
      <c r="A5" s="13" t="n">
        <v>3</v>
      </c>
      <c r="B5" s="13" t="inlineStr">
        <is>
          <t>1-Jun-26</t>
        </is>
      </c>
      <c r="C5" s="13" t="inlineStr">
        <is>
          <t>Keluar</t>
        </is>
      </c>
      <c r="D5" s="13" t="inlineStr">
        <is>
          <t>Phone Credit</t>
        </is>
      </c>
      <c r="E5" s="13" t="inlineStr">
        <is>
          <t>Pulsa Henry</t>
        </is>
      </c>
      <c r="F5" s="14" t="n">
        <v>50000</v>
      </c>
      <c r="G5" s="13" t="inlineStr">
        <is>
          <t>Blu</t>
        </is>
      </c>
      <c r="H5" s="13" t="inlineStr"/>
      <c r="I5" s="13" t="inlineStr">
        <is>
          <t>Chat (manual)</t>
        </is>
      </c>
      <c r="J5" s="13" t="inlineStr">
        <is>
          <t>Henry</t>
        </is>
      </c>
    </row>
    <row r="6">
      <c r="A6" s="13" t="n">
        <v>4</v>
      </c>
      <c r="B6" s="13" t="inlineStr">
        <is>
          <t>1-Jun-26</t>
        </is>
      </c>
      <c r="C6" s="13" t="inlineStr">
        <is>
          <t>Keluar</t>
        </is>
      </c>
      <c r="D6" s="13" t="inlineStr">
        <is>
          <t>Utilities</t>
        </is>
      </c>
      <c r="E6" s="13" t="inlineStr">
        <is>
          <t>Admin pulsa</t>
        </is>
      </c>
      <c r="F6" s="14" t="n">
        <v>2500</v>
      </c>
      <c r="G6" s="13" t="inlineStr">
        <is>
          <t>Blu</t>
        </is>
      </c>
      <c r="H6" s="13" t="inlineStr"/>
      <c r="I6" s="13" t="inlineStr">
        <is>
          <t>Chat (manual)</t>
        </is>
      </c>
      <c r="J6" s="13" t="inlineStr">
        <is>
          <t>Henry</t>
        </is>
      </c>
    </row>
    <row r="7">
      <c r="A7" s="13" t="n">
        <v>5</v>
      </c>
      <c r="B7" s="13" t="inlineStr">
        <is>
          <t>1-Jun-26</t>
        </is>
      </c>
      <c r="C7" s="13" t="inlineStr">
        <is>
          <t>Keluar</t>
        </is>
      </c>
      <c r="D7" s="13" t="inlineStr">
        <is>
          <t>Groceries</t>
        </is>
      </c>
      <c r="E7" s="13" t="inlineStr">
        <is>
          <t>Minyak Goreng 1L</t>
        </is>
      </c>
      <c r="F7" s="14" t="n">
        <v>22990</v>
      </c>
      <c r="G7" s="13" t="inlineStr">
        <is>
          <t>Blu</t>
        </is>
      </c>
      <c r="H7" s="13" t="inlineStr"/>
      <c r="I7" s="13" t="inlineStr">
        <is>
          <t>Chat (manual)</t>
        </is>
      </c>
      <c r="J7" s="13" t="inlineStr">
        <is>
          <t>Vina</t>
        </is>
      </c>
    </row>
    <row r="8">
      <c r="A8" s="13" t="n">
        <v>6</v>
      </c>
      <c r="B8" s="13" t="inlineStr">
        <is>
          <t>1-Jun-26</t>
        </is>
      </c>
      <c r="C8" s="13" t="inlineStr">
        <is>
          <t>Keluar</t>
        </is>
      </c>
      <c r="D8" s="13" t="inlineStr">
        <is>
          <t>Groceries</t>
        </is>
      </c>
      <c r="E8" s="13" t="inlineStr">
        <is>
          <t>Saus Tiram</t>
        </is>
      </c>
      <c r="F8" s="14" t="n">
        <v>19990</v>
      </c>
      <c r="G8" s="13" t="inlineStr">
        <is>
          <t>Blu</t>
        </is>
      </c>
      <c r="H8" s="13" t="inlineStr"/>
      <c r="I8" s="13" t="inlineStr">
        <is>
          <t>Chat (manual)</t>
        </is>
      </c>
      <c r="J8" s="13" t="inlineStr">
        <is>
          <t>Vina</t>
        </is>
      </c>
    </row>
    <row r="9">
      <c r="A9" s="13" t="n">
        <v>7</v>
      </c>
      <c r="B9" s="13" t="inlineStr">
        <is>
          <t>1-Jun-26</t>
        </is>
      </c>
      <c r="C9" s="13" t="inlineStr">
        <is>
          <t>Keluar</t>
        </is>
      </c>
      <c r="D9" s="13" t="inlineStr">
        <is>
          <t>Home</t>
        </is>
      </c>
      <c r="E9" s="13" t="inlineStr">
        <is>
          <t>Tisu kecil 4pcs molang</t>
        </is>
      </c>
      <c r="F9" s="14" t="n">
        <v>16590</v>
      </c>
      <c r="G9" s="13" t="inlineStr">
        <is>
          <t>Blu</t>
        </is>
      </c>
      <c r="H9" s="13" t="inlineStr"/>
      <c r="I9" s="13" t="inlineStr">
        <is>
          <t>Chat (manual)</t>
        </is>
      </c>
      <c r="J9" s="13" t="inlineStr">
        <is>
          <t>Vina</t>
        </is>
      </c>
    </row>
    <row r="10">
      <c r="A10" s="13" t="n">
        <v>8</v>
      </c>
      <c r="B10" s="13" t="inlineStr">
        <is>
          <t>2-Jun-26</t>
        </is>
      </c>
      <c r="C10" s="13" t="inlineStr">
        <is>
          <t>Keluar</t>
        </is>
      </c>
      <c r="D10" s="13" t="inlineStr">
        <is>
          <t>Hiroshi's</t>
        </is>
      </c>
      <c r="E10" s="13" t="inlineStr">
        <is>
          <t>Mamy Poko M56 4pcs</t>
        </is>
      </c>
      <c r="F10" s="14" t="n">
        <v>439200</v>
      </c>
      <c r="G10" s="13" t="inlineStr">
        <is>
          <t>Blu</t>
        </is>
      </c>
      <c r="H10" s="13" t="inlineStr"/>
      <c r="I10" s="13" t="inlineStr">
        <is>
          <t>Chat (manual)</t>
        </is>
      </c>
      <c r="J10" s="13" t="inlineStr">
        <is>
          <t>Vina</t>
        </is>
      </c>
    </row>
    <row r="11">
      <c r="A11" s="13" t="n">
        <v>9</v>
      </c>
      <c r="B11" s="13" t="inlineStr">
        <is>
          <t>2-Jun-26</t>
        </is>
      </c>
      <c r="C11" s="13" t="inlineStr">
        <is>
          <t>Keluar</t>
        </is>
      </c>
      <c r="D11" s="13" t="inlineStr">
        <is>
          <t>Food</t>
        </is>
      </c>
      <c r="E11" s="13" t="inlineStr">
        <is>
          <t>Gacoan Time</t>
        </is>
      </c>
      <c r="F11" s="14" t="n">
        <v>70810</v>
      </c>
      <c r="G11" s="13" t="inlineStr">
        <is>
          <t>Blu</t>
        </is>
      </c>
      <c r="H11" s="13" t="inlineStr"/>
      <c r="I11" s="13" t="inlineStr">
        <is>
          <t>Chat (manual)</t>
        </is>
      </c>
      <c r="J11" s="13" t="inlineStr">
        <is>
          <t>Vina</t>
        </is>
      </c>
    </row>
    <row r="12">
      <c r="A12" s="13" t="n">
        <v>10</v>
      </c>
      <c r="B12" s="13" t="inlineStr">
        <is>
          <t>2-Jun-26</t>
        </is>
      </c>
      <c r="C12" s="13" t="inlineStr">
        <is>
          <t>Pindah</t>
        </is>
      </c>
      <c r="D12" s="13" t="inlineStr"/>
      <c r="E12" s="13" t="inlineStr">
        <is>
          <t>Transfer Dana Darurat</t>
        </is>
      </c>
      <c r="F12" s="14" t="n">
        <v>500000</v>
      </c>
      <c r="G12" s="13" t="inlineStr">
        <is>
          <t>Blu</t>
        </is>
      </c>
      <c r="H12" s="13" t="inlineStr">
        <is>
          <t>Comfort Life</t>
        </is>
      </c>
      <c r="I12" s="13" t="inlineStr">
        <is>
          <t>Chat (manual)</t>
        </is>
      </c>
      <c r="J12" s="13" t="inlineStr">
        <is>
          <t>Henry</t>
        </is>
      </c>
    </row>
    <row r="13">
      <c r="A13" s="13" t="n">
        <v>11</v>
      </c>
      <c r="B13" s="13" t="inlineStr">
        <is>
          <t>2-Jun-26</t>
        </is>
      </c>
      <c r="C13" s="13" t="inlineStr">
        <is>
          <t>Pindah</t>
        </is>
      </c>
      <c r="D13" s="13" t="inlineStr"/>
      <c r="E13" s="13" t="inlineStr">
        <is>
          <t>Nabung Hiro</t>
        </is>
      </c>
      <c r="F13" s="14" t="n">
        <v>450000</v>
      </c>
      <c r="G13" s="13" t="inlineStr">
        <is>
          <t>Blu</t>
        </is>
      </c>
      <c r="H13" s="13" t="inlineStr">
        <is>
          <t>Hiroshi</t>
        </is>
      </c>
      <c r="I13" s="13" t="inlineStr">
        <is>
          <t>Chat (manual)</t>
        </is>
      </c>
      <c r="J13" s="13" t="inlineStr">
        <is>
          <t>Henry</t>
        </is>
      </c>
    </row>
    <row r="14">
      <c r="A14" s="13" t="n">
        <v>12</v>
      </c>
      <c r="B14" s="13" t="inlineStr">
        <is>
          <t>2-Jun-26</t>
        </is>
      </c>
      <c r="C14" s="13" t="inlineStr">
        <is>
          <t>Pindah</t>
        </is>
      </c>
      <c r="D14" s="13" t="inlineStr"/>
      <c r="E14" s="13" t="inlineStr">
        <is>
          <t>Nabung Education</t>
        </is>
      </c>
      <c r="F14" s="14" t="n">
        <v>200000</v>
      </c>
      <c r="G14" s="13" t="inlineStr">
        <is>
          <t>Blu</t>
        </is>
      </c>
      <c r="H14" s="13" t="inlineStr">
        <is>
          <t>Education</t>
        </is>
      </c>
      <c r="I14" s="13" t="inlineStr">
        <is>
          <t>Chat (manual)</t>
        </is>
      </c>
      <c r="J14" s="13" t="inlineStr">
        <is>
          <t>Henry</t>
        </is>
      </c>
    </row>
    <row r="15">
      <c r="A15" s="13" t="n">
        <v>13</v>
      </c>
      <c r="B15" s="13" t="inlineStr">
        <is>
          <t>2-Jun-26</t>
        </is>
      </c>
      <c r="C15" s="13" t="inlineStr">
        <is>
          <t>Pindah</t>
        </is>
      </c>
      <c r="D15" s="13" t="inlineStr"/>
      <c r="E15" s="13" t="inlineStr">
        <is>
          <t>Nabung Hiro's Room</t>
        </is>
      </c>
      <c r="F15" s="14" t="n">
        <v>200000</v>
      </c>
      <c r="G15" s="13" t="inlineStr">
        <is>
          <t>Blu</t>
        </is>
      </c>
      <c r="H15" s="13" t="inlineStr">
        <is>
          <t>Hiro's Room</t>
        </is>
      </c>
      <c r="I15" s="13" t="inlineStr">
        <is>
          <t>Chat (manual)</t>
        </is>
      </c>
      <c r="J15" s="13" t="inlineStr">
        <is>
          <t>Henry</t>
        </is>
      </c>
    </row>
    <row r="16">
      <c r="A16" s="13" t="n">
        <v>14</v>
      </c>
      <c r="B16" s="13" t="inlineStr">
        <is>
          <t>2-Jun-26</t>
        </is>
      </c>
      <c r="C16" s="13" t="inlineStr">
        <is>
          <t>Pindah</t>
        </is>
      </c>
      <c r="D16" s="13" t="inlineStr"/>
      <c r="E16" s="13" t="inlineStr">
        <is>
          <t>Nabung Fidyah</t>
        </is>
      </c>
      <c r="F16" s="14" t="n">
        <v>150000</v>
      </c>
      <c r="G16" s="13" t="inlineStr">
        <is>
          <t>Blu</t>
        </is>
      </c>
      <c r="H16" s="13" t="inlineStr">
        <is>
          <t>Fidyah</t>
        </is>
      </c>
      <c r="I16" s="13" t="inlineStr">
        <is>
          <t>Chat (manual)</t>
        </is>
      </c>
      <c r="J16" s="13" t="inlineStr">
        <is>
          <t>Henry</t>
        </is>
      </c>
    </row>
    <row r="17">
      <c r="A17" s="13" t="n">
        <v>15</v>
      </c>
      <c r="B17" s="13" t="inlineStr">
        <is>
          <t>2-Jun-26</t>
        </is>
      </c>
      <c r="C17" s="13" t="inlineStr">
        <is>
          <t>Keluar</t>
        </is>
      </c>
      <c r="D17" s="13" t="inlineStr">
        <is>
          <t>Entertainment</t>
        </is>
      </c>
      <c r="E17" s="13" t="inlineStr">
        <is>
          <t>Netflix Juni</t>
        </is>
      </c>
      <c r="F17" s="14" t="n">
        <v>40000</v>
      </c>
      <c r="G17" s="13" t="inlineStr">
        <is>
          <t>Blu</t>
        </is>
      </c>
      <c r="H17" s="13" t="inlineStr"/>
      <c r="I17" s="13" t="inlineStr">
        <is>
          <t>Chat (manual)</t>
        </is>
      </c>
      <c r="J17" s="13" t="inlineStr">
        <is>
          <t>Vina</t>
        </is>
      </c>
    </row>
    <row r="18">
      <c r="A18" s="13" t="n">
        <v>16</v>
      </c>
      <c r="B18" s="13" t="inlineStr">
        <is>
          <t>2-Jun-26</t>
        </is>
      </c>
      <c r="C18" s="13" t="inlineStr">
        <is>
          <t>Keluar</t>
        </is>
      </c>
      <c r="D18" s="13" t="inlineStr">
        <is>
          <t>Entertainment</t>
        </is>
      </c>
      <c r="E18" s="13" t="inlineStr">
        <is>
          <t>Spotify Juni</t>
        </is>
      </c>
      <c r="F18" s="14" t="n">
        <v>37000</v>
      </c>
      <c r="G18" s="13" t="inlineStr">
        <is>
          <t>Blu</t>
        </is>
      </c>
      <c r="H18" s="13" t="inlineStr"/>
      <c r="I18" s="13" t="inlineStr">
        <is>
          <t>Chat (manual)</t>
        </is>
      </c>
      <c r="J18" s="13" t="inlineStr">
        <is>
          <t>Vina</t>
        </is>
      </c>
    </row>
    <row r="19">
      <c r="A19" s="13" t="n">
        <v>17</v>
      </c>
      <c r="B19" s="13" t="inlineStr">
        <is>
          <t>2-Jun-26</t>
        </is>
      </c>
      <c r="C19" s="13" t="inlineStr">
        <is>
          <t>Keluar</t>
        </is>
      </c>
      <c r="D19" s="13" t="inlineStr">
        <is>
          <t>Zakat</t>
        </is>
      </c>
      <c r="E19" s="13" t="inlineStr">
        <is>
          <t>Zakat Juni</t>
        </is>
      </c>
      <c r="F19" s="14" t="n">
        <v>50000</v>
      </c>
      <c r="G19" s="13" t="inlineStr">
        <is>
          <t>Blu</t>
        </is>
      </c>
      <c r="H19" s="13" t="inlineStr"/>
      <c r="I19" s="13" t="inlineStr">
        <is>
          <t>Chat (manual)</t>
        </is>
      </c>
      <c r="J19" s="13" t="inlineStr">
        <is>
          <t>Henry</t>
        </is>
      </c>
    </row>
    <row r="20">
      <c r="A20" s="13" t="n">
        <v>18</v>
      </c>
      <c r="B20" s="13" t="inlineStr">
        <is>
          <t>10-Jun-26</t>
        </is>
      </c>
      <c r="C20" s="13" t="inlineStr">
        <is>
          <t>Masuk</t>
        </is>
      </c>
      <c r="D20" s="13" t="inlineStr">
        <is>
          <t>Repayment</t>
        </is>
      </c>
      <c r="E20" s="13" t="inlineStr">
        <is>
          <t>Netflix bayar Evelyn</t>
        </is>
      </c>
      <c r="F20" s="14" t="n">
        <v>37000</v>
      </c>
      <c r="G20" s="13" t="inlineStr">
        <is>
          <t>Blu</t>
        </is>
      </c>
      <c r="H20" s="13" t="inlineStr"/>
      <c r="I20" s="13" t="inlineStr">
        <is>
          <t>Chat (manual)</t>
        </is>
      </c>
      <c r="J20" s="13" t="inlineStr">
        <is>
          <t>Vina</t>
        </is>
      </c>
    </row>
    <row r="21">
      <c r="A21" s="13" t="n">
        <v>19</v>
      </c>
      <c r="B21" s="13" t="inlineStr">
        <is>
          <t>14-Jun-26</t>
        </is>
      </c>
      <c r="C21" s="13" t="inlineStr">
        <is>
          <t>Keluar</t>
        </is>
      </c>
      <c r="D21" s="13" t="inlineStr">
        <is>
          <t>Travel Expenses</t>
        </is>
      </c>
      <c r="E21" s="13" t="inlineStr">
        <is>
          <t>Tol Pakis-Pandaan</t>
        </is>
      </c>
      <c r="F21" s="14" t="n">
        <v>36000</v>
      </c>
      <c r="G21" s="13" t="inlineStr">
        <is>
          <t>E-money</t>
        </is>
      </c>
      <c r="H21" s="13" t="inlineStr"/>
      <c r="I21" s="13" t="inlineStr">
        <is>
          <t>Chat (manual)</t>
        </is>
      </c>
      <c r="J21" s="13" t="inlineStr">
        <is>
          <t>Henry</t>
        </is>
      </c>
    </row>
    <row r="22">
      <c r="A22" s="13" t="n">
        <v>20</v>
      </c>
      <c r="B22" s="13" t="inlineStr">
        <is>
          <t>14-Jun-26</t>
        </is>
      </c>
      <c r="C22" s="13" t="inlineStr">
        <is>
          <t>Keluar</t>
        </is>
      </c>
      <c r="D22" s="13" t="inlineStr">
        <is>
          <t>Travel Expenses</t>
        </is>
      </c>
      <c r="E22" s="13" t="inlineStr">
        <is>
          <t>Tol Pandaan-Singosari</t>
        </is>
      </c>
      <c r="F22" s="14" t="n">
        <v>32500</v>
      </c>
      <c r="G22" s="13" t="inlineStr">
        <is>
          <t>E-money</t>
        </is>
      </c>
      <c r="H22" s="13" t="inlineStr"/>
      <c r="I22" s="13" t="inlineStr">
        <is>
          <t>Chat (manual)</t>
        </is>
      </c>
      <c r="J22" s="13" t="inlineStr">
        <is>
          <t>Henry</t>
        </is>
      </c>
    </row>
    <row r="23">
      <c r="A23" s="13" t="n">
        <v>21</v>
      </c>
      <c r="B23" s="13" t="inlineStr">
        <is>
          <t>20-Jun-26</t>
        </is>
      </c>
      <c r="C23" s="13" t="inlineStr">
        <is>
          <t>Masuk</t>
        </is>
      </c>
      <c r="D23" s="13" t="inlineStr">
        <is>
          <t>Gifts</t>
        </is>
      </c>
      <c r="E23" s="13" t="inlineStr">
        <is>
          <t>Dari Mbak Elly</t>
        </is>
      </c>
      <c r="F23" s="14" t="n">
        <v>50000</v>
      </c>
      <c r="G23" s="13" t="inlineStr">
        <is>
          <t>Hiroshi</t>
        </is>
      </c>
      <c r="H23" s="13" t="inlineStr"/>
      <c r="I23" s="13" t="inlineStr">
        <is>
          <t>Chat (manual)</t>
        </is>
      </c>
      <c r="J23" s="13" t="inlineStr">
        <is>
          <t>Vina</t>
        </is>
      </c>
    </row>
  </sheetData>
  <autoFilter ref="A1:J1"/>
  <mergeCells count="1">
    <mergeCell ref="A2:J2"/>
  </mergeCells>
  <dataValidations count="5">
    <dataValidation sqref="C2:C10000" showDropDown="0" showInputMessage="0" showErrorMessage="0" allowBlank="1" type="list">
      <formula1>"Masuk,Keluar,Pindah"</formula1>
    </dataValidation>
    <dataValidation sqref="D2:D10000" showDropDown="0" showInputMessage="0" showErrorMessage="0" allowBlank="1" type="list">
      <formula1>"Food,Groceries,Health &amp; Medical,Home,Travel Expenses,Zakat,Skin &amp; Body Care,Entertainment,Utilities,Phone Credit,Admin Fee,Mpis,Hiroshis,Henrys,Gifts,Public Transportation,Event,Other,Paycheck,Interest,Repayment"</formula1>
    </dataValidation>
    <dataValidation sqref="G2:H10000" showDropDown="0" showInputMessage="0" showErrorMessage="0" allowBlank="1" type="list">
      <formula1>"Blu,Comfort Life,Hiroshi,Education,Hiros Room,Fidyah,Cash,E-money"</formula1>
    </dataValidation>
    <dataValidation sqref="I2:I10000" showDropDown="0" showInputMessage="0" showErrorMessage="0" allowBlank="1" type="list">
      <formula1>"Chat (manual),Foto Struk,Catatan"</formula1>
    </dataValidation>
    <dataValidation sqref="J2:J10000" showDropDown="0" showInputMessage="0" showErrorMessage="0" allowBlank="1" type="list">
      <formula1>"Vina,Henry,Hermes"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G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30" customWidth="1" min="7" max="7"/>
  </cols>
  <sheetData>
    <row r="1" ht="40" customHeight="1">
      <c r="A1" s="27" t="inlineStr">
        <is>
          <t>📋 Budget Planning Bulanan</t>
        </is>
      </c>
    </row>
    <row r="2">
      <c r="A2" s="2" t="inlineStr">
        <is>
          <t>Isi budget per kategori di awal bulan. Semua data terekam historis.</t>
        </is>
      </c>
    </row>
    <row r="4">
      <c r="A4" s="28" t="inlineStr">
        <is>
          <t>💰 Target Pemasukan</t>
        </is>
      </c>
      <c r="B4" s="29" t="n"/>
      <c r="C4" s="29" t="n"/>
      <c r="D4" s="29" t="n"/>
      <c r="E4" s="29" t="n"/>
      <c r="F4" s="29" t="n"/>
      <c r="G4" s="29" t="n"/>
    </row>
    <row r="5">
      <c r="A5" s="10" t="inlineStr">
        <is>
          <t>Bulan</t>
        </is>
      </c>
      <c r="B5" s="10" t="inlineStr">
        <is>
          <t>Kategori</t>
        </is>
      </c>
      <c r="C5" s="10" t="inlineStr">
        <is>
          <t>Target</t>
        </is>
      </c>
      <c r="D5" s="10" t="inlineStr">
        <is>
          <t>Aktual</t>
        </is>
      </c>
      <c r="E5" s="10" t="inlineStr">
        <is>
          <t>Selisih</t>
        </is>
      </c>
      <c r="F5" s="10" t="inlineStr">
        <is>
          <t>%</t>
        </is>
      </c>
      <c r="G5" s="10" t="inlineStr">
        <is>
          <t>Catatan</t>
        </is>
      </c>
    </row>
    <row r="6">
      <c r="A6" s="13" t="inlineStr">
        <is>
          <t>Juni 2026</t>
        </is>
      </c>
      <c r="B6" s="13" t="inlineStr">
        <is>
          <t>Paycheck</t>
        </is>
      </c>
      <c r="C6" s="14" t="n">
        <v>0</v>
      </c>
      <c r="D6" s="14" t="n">
        <v>0</v>
      </c>
      <c r="E6" s="14">
        <f>IF(C6=0,"",C6-D6)</f>
        <v/>
      </c>
      <c r="F6" s="21">
        <f>IF(C6=0,"",D6/C6)</f>
        <v/>
      </c>
      <c r="G6" s="13" t="inlineStr"/>
    </row>
    <row r="7">
      <c r="A7" s="13" t="inlineStr">
        <is>
          <t>Juni 2026</t>
        </is>
      </c>
      <c r="B7" s="13" t="inlineStr">
        <is>
          <t>Repayment</t>
        </is>
      </c>
      <c r="C7" s="14" t="n">
        <v>0</v>
      </c>
      <c r="D7" s="14" t="n">
        <v>0</v>
      </c>
      <c r="E7" s="14">
        <f>IF(C7=0,"",C7-D7)</f>
        <v/>
      </c>
      <c r="F7" s="21">
        <f>IF(C7=0,"",D7/C7)</f>
        <v/>
      </c>
      <c r="G7" s="13" t="inlineStr"/>
    </row>
    <row r="8">
      <c r="A8" s="13" t="inlineStr">
        <is>
          <t>Juni 2026</t>
        </is>
      </c>
      <c r="B8" s="13" t="inlineStr">
        <is>
          <t>Gifts</t>
        </is>
      </c>
      <c r="C8" s="14" t="n">
        <v>0</v>
      </c>
      <c r="D8" s="14" t="n">
        <v>0</v>
      </c>
      <c r="E8" s="14">
        <f>IF(C8=0,"",C8-D8)</f>
        <v/>
      </c>
      <c r="F8" s="21">
        <f>IF(C8=0,"",D8/C8)</f>
        <v/>
      </c>
      <c r="G8" s="13" t="inlineStr"/>
    </row>
    <row r="9">
      <c r="A9" s="13" t="inlineStr">
        <is>
          <t>Juni 2026</t>
        </is>
      </c>
      <c r="B9" s="13" t="inlineStr">
        <is>
          <t>Interest</t>
        </is>
      </c>
      <c r="C9" s="14" t="n">
        <v>0</v>
      </c>
      <c r="D9" s="14" t="n">
        <v>0</v>
      </c>
      <c r="E9" s="14">
        <f>IF(C9=0,"",C9-D9)</f>
        <v/>
      </c>
      <c r="F9" s="21">
        <f>IF(C9=0,"",D9/C9)</f>
        <v/>
      </c>
      <c r="G9" s="13" t="inlineStr"/>
    </row>
    <row r="10">
      <c r="A10" s="13" t="inlineStr">
        <is>
          <t>Juni 2026</t>
        </is>
      </c>
      <c r="B10" s="13" t="inlineStr">
        <is>
          <t>Other</t>
        </is>
      </c>
      <c r="C10" s="14" t="n">
        <v>0</v>
      </c>
      <c r="D10" s="14" t="n">
        <v>0</v>
      </c>
      <c r="E10" s="14">
        <f>IF(C10=0,"",C10-D10)</f>
        <v/>
      </c>
      <c r="F10" s="21">
        <f>IF(C10=0,"",D10/C10)</f>
        <v/>
      </c>
      <c r="G10" s="13" t="inlineStr"/>
    </row>
    <row r="11">
      <c r="A11" s="15" t="inlineStr"/>
      <c r="B11" s="15" t="inlineStr">
        <is>
          <t>TOTAL</t>
        </is>
      </c>
      <c r="C11" s="30">
        <f>SUM(C6:C10)</f>
        <v/>
      </c>
      <c r="D11" s="30">
        <f>SUM(D6:D10)</f>
        <v/>
      </c>
      <c r="E11" s="30">
        <f>SUM(E6:E10)</f>
        <v/>
      </c>
      <c r="F11" s="17" t="n"/>
      <c r="G11" s="17" t="n"/>
    </row>
    <row r="13">
      <c r="A13" s="31" t="inlineStr">
        <is>
          <t>🛒 Budget Pengeluaran per Kategori</t>
        </is>
      </c>
      <c r="B13" s="32" t="n"/>
      <c r="C13" s="32" t="n"/>
      <c r="D13" s="32" t="n"/>
      <c r="E13" s="32" t="n"/>
      <c r="F13" s="32" t="n"/>
      <c r="G13" s="32" t="n"/>
    </row>
    <row r="14">
      <c r="A14" s="20" t="inlineStr">
        <is>
          <t>Kategori</t>
        </is>
      </c>
      <c r="B14" s="20" t="inlineStr">
        <is>
          <t>Budget Juni'26</t>
        </is>
      </c>
      <c r="C14" s="20" t="inlineStr">
        <is>
          <t>Budget Juli'26</t>
        </is>
      </c>
      <c r="D14" s="20" t="inlineStr">
        <is>
          <t>Budget Agst'26</t>
        </is>
      </c>
      <c r="E14" s="20" t="inlineStr">
        <is>
          <t>PIC</t>
        </is>
      </c>
      <c r="F14" s="20" t="inlineStr">
        <is>
          <t>Prioritas</t>
        </is>
      </c>
      <c r="G14" s="20" t="inlineStr">
        <is>
          <t>Catatan</t>
        </is>
      </c>
    </row>
    <row r="15">
      <c r="A15" s="11" t="inlineStr">
        <is>
          <t>Food</t>
        </is>
      </c>
      <c r="B15" s="12" t="n">
        <v>0</v>
      </c>
      <c r="C15" s="11" t="inlineStr"/>
      <c r="D15" s="11" t="inlineStr"/>
      <c r="E15" s="11" t="inlineStr">
        <is>
          <t>Vina/Henry</t>
        </is>
      </c>
      <c r="F15" s="11" t="inlineStr"/>
      <c r="G15" s="11" t="inlineStr">
        <is>
          <t>Makan sehari-hari, jajan</t>
        </is>
      </c>
    </row>
    <row r="16">
      <c r="A16" s="13" t="inlineStr">
        <is>
          <t>Groceries</t>
        </is>
      </c>
      <c r="B16" s="14" t="n">
        <v>0</v>
      </c>
      <c r="C16" s="13" t="inlineStr"/>
      <c r="D16" s="13" t="inlineStr"/>
      <c r="E16" s="13" t="inlineStr">
        <is>
          <t>Vina</t>
        </is>
      </c>
      <c r="F16" s="13" t="inlineStr"/>
      <c r="G16" s="13" t="inlineStr">
        <is>
          <t>Belanja bahan masakan</t>
        </is>
      </c>
    </row>
    <row r="17">
      <c r="A17" s="11" t="inlineStr">
        <is>
          <t>Health &amp; Medical</t>
        </is>
      </c>
      <c r="B17" s="12" t="n">
        <v>0</v>
      </c>
      <c r="C17" s="11" t="inlineStr"/>
      <c r="D17" s="11" t="inlineStr"/>
      <c r="E17" s="11" t="inlineStr">
        <is>
          <t>Vina</t>
        </is>
      </c>
      <c r="F17" s="11" t="inlineStr"/>
      <c r="G17" s="11" t="inlineStr">
        <is>
          <t>Obat, vitamin, dokter</t>
        </is>
      </c>
    </row>
    <row r="18">
      <c r="A18" s="13" t="inlineStr">
        <is>
          <t>Home</t>
        </is>
      </c>
      <c r="B18" s="14" t="n">
        <v>0</v>
      </c>
      <c r="C18" s="13" t="inlineStr"/>
      <c r="D18" s="13" t="inlineStr"/>
      <c r="E18" s="13" t="inlineStr">
        <is>
          <t>Henry</t>
        </is>
      </c>
      <c r="F18" s="13" t="inlineStr"/>
      <c r="G18" s="13" t="inlineStr">
        <is>
          <t>Perabot, kebersihan rumah</t>
        </is>
      </c>
    </row>
    <row r="19">
      <c r="A19" s="11" t="inlineStr">
        <is>
          <t>Travel Expenses</t>
        </is>
      </c>
      <c r="B19" s="12" t="n">
        <v>0</v>
      </c>
      <c r="C19" s="11" t="inlineStr"/>
      <c r="D19" s="11" t="inlineStr"/>
      <c r="E19" s="11" t="inlineStr">
        <is>
          <t>Henry</t>
        </is>
      </c>
      <c r="F19" s="11" t="inlineStr"/>
      <c r="G19" s="11" t="inlineStr">
        <is>
          <t>Tol, bensin, tiket</t>
        </is>
      </c>
    </row>
    <row r="20">
      <c r="A20" s="13" t="inlineStr">
        <is>
          <t>Utilities</t>
        </is>
      </c>
      <c r="B20" s="14" t="n">
        <v>0</v>
      </c>
      <c r="C20" s="13" t="inlineStr"/>
      <c r="D20" s="13" t="inlineStr"/>
      <c r="E20" s="13" t="inlineStr">
        <is>
          <t>Henry</t>
        </is>
      </c>
      <c r="F20" s="13" t="inlineStr"/>
      <c r="G20" s="13" t="inlineStr">
        <is>
          <t>Listrik, air, wifi</t>
        </is>
      </c>
    </row>
    <row r="21">
      <c r="A21" s="11" t="inlineStr">
        <is>
          <t>Phone Credit</t>
        </is>
      </c>
      <c r="B21" s="12" t="n">
        <v>0</v>
      </c>
      <c r="C21" s="11" t="inlineStr"/>
      <c r="D21" s="11" t="inlineStr"/>
      <c r="E21" s="11" t="inlineStr">
        <is>
          <t>Vina/Henry</t>
        </is>
      </c>
      <c r="F21" s="11" t="inlineStr"/>
      <c r="G21" s="11" t="inlineStr">
        <is>
          <t>Pulsa, paket data</t>
        </is>
      </c>
    </row>
    <row r="22">
      <c r="A22" s="13" t="inlineStr">
        <is>
          <t>Entertainment</t>
        </is>
      </c>
      <c r="B22" s="14" t="n">
        <v>0</v>
      </c>
      <c r="C22" s="13" t="inlineStr"/>
      <c r="D22" s="13" t="inlineStr"/>
      <c r="E22" s="13" t="inlineStr">
        <is>
          <t>Vina/Henry</t>
        </is>
      </c>
      <c r="F22" s="13" t="inlineStr"/>
      <c r="G22" s="13" t="inlineStr">
        <is>
          <t>Netflix, Spotify, hiburan</t>
        </is>
      </c>
    </row>
    <row r="23">
      <c r="A23" s="11" t="inlineStr">
        <is>
          <t>Skin &amp; Body Care</t>
        </is>
      </c>
      <c r="B23" s="12" t="n">
        <v>0</v>
      </c>
      <c r="C23" s="11" t="inlineStr"/>
      <c r="D23" s="11" t="inlineStr"/>
      <c r="E23" s="11" t="inlineStr">
        <is>
          <t>Vina</t>
        </is>
      </c>
      <c r="F23" s="11" t="inlineStr"/>
      <c r="G23" s="11" t="inlineStr">
        <is>
          <t>Skincare, kosmetik</t>
        </is>
      </c>
    </row>
    <row r="24">
      <c r="A24" s="13" t="inlineStr">
        <is>
          <t>Hiroshi's</t>
        </is>
      </c>
      <c r="B24" s="14" t="n">
        <v>0</v>
      </c>
      <c r="C24" s="13" t="inlineStr"/>
      <c r="D24" s="13" t="inlineStr"/>
      <c r="E24" s="13" t="inlineStr">
        <is>
          <t>Vina</t>
        </is>
      </c>
      <c r="F24" s="13" t="inlineStr"/>
      <c r="G24" s="13" t="inlineStr">
        <is>
          <t>Keperluan Hiro</t>
        </is>
      </c>
    </row>
    <row r="25">
      <c r="A25" s="11" t="inlineStr">
        <is>
          <t>Mpi's</t>
        </is>
      </c>
      <c r="B25" s="12" t="n">
        <v>0</v>
      </c>
      <c r="C25" s="11" t="inlineStr"/>
      <c r="D25" s="11" t="inlineStr"/>
      <c r="E25" s="11" t="inlineStr">
        <is>
          <t>Vina</t>
        </is>
      </c>
      <c r="F25" s="11" t="inlineStr"/>
      <c r="G25" s="11" t="inlineStr">
        <is>
          <t>Keperluan Mpi</t>
        </is>
      </c>
    </row>
    <row r="26">
      <c r="A26" s="13" t="inlineStr">
        <is>
          <t>Henry's</t>
        </is>
      </c>
      <c r="B26" s="14" t="n">
        <v>0</v>
      </c>
      <c r="C26" s="13" t="inlineStr"/>
      <c r="D26" s="13" t="inlineStr"/>
      <c r="E26" s="13" t="inlineStr">
        <is>
          <t>Henry</t>
        </is>
      </c>
      <c r="F26" s="13" t="inlineStr"/>
      <c r="G26" s="13" t="inlineStr">
        <is>
          <t>Keperluan pribadi Henry</t>
        </is>
      </c>
    </row>
    <row r="27">
      <c r="A27" s="11" t="inlineStr">
        <is>
          <t>Zakat</t>
        </is>
      </c>
      <c r="B27" s="12" t="n">
        <v>0</v>
      </c>
      <c r="C27" s="11" t="inlineStr"/>
      <c r="D27" s="11" t="inlineStr"/>
      <c r="E27" s="11" t="inlineStr">
        <is>
          <t>Henry</t>
        </is>
      </c>
      <c r="F27" s="11" t="inlineStr"/>
      <c r="G27" s="11" t="inlineStr">
        <is>
          <t>Zakat, infaq, sedekah</t>
        </is>
      </c>
    </row>
    <row r="28">
      <c r="A28" s="13" t="inlineStr">
        <is>
          <t>Admin Fee</t>
        </is>
      </c>
      <c r="B28" s="14" t="n">
        <v>0</v>
      </c>
      <c r="C28" s="13" t="inlineStr"/>
      <c r="D28" s="13" t="inlineStr"/>
      <c r="E28" s="13" t="inlineStr">
        <is>
          <t>Henry</t>
        </is>
      </c>
      <c r="F28" s="13" t="inlineStr"/>
      <c r="G28" s="13" t="inlineStr">
        <is>
          <t>Biaya admin</t>
        </is>
      </c>
    </row>
    <row r="29">
      <c r="A29" s="11" t="inlineStr">
        <is>
          <t>Gifts</t>
        </is>
      </c>
      <c r="B29" s="12" t="n">
        <v>0</v>
      </c>
      <c r="C29" s="11" t="inlineStr"/>
      <c r="D29" s="11" t="inlineStr"/>
      <c r="E29" s="11" t="inlineStr">
        <is>
          <t>Vina/Henry</t>
        </is>
      </c>
      <c r="F29" s="11" t="inlineStr"/>
      <c r="G29" s="11" t="inlineStr">
        <is>
          <t>Hadiah</t>
        </is>
      </c>
    </row>
    <row r="30">
      <c r="A30" s="13" t="inlineStr">
        <is>
          <t>Public Transportation</t>
        </is>
      </c>
      <c r="B30" s="14" t="n">
        <v>0</v>
      </c>
      <c r="C30" s="13" t="inlineStr"/>
      <c r="D30" s="13" t="inlineStr"/>
      <c r="E30" s="13" t="inlineStr">
        <is>
          <t>Henry</t>
        </is>
      </c>
      <c r="F30" s="13" t="inlineStr"/>
      <c r="G30" s="13" t="inlineStr">
        <is>
          <t>Transport umum</t>
        </is>
      </c>
    </row>
    <row r="31">
      <c r="A31" s="11" t="inlineStr">
        <is>
          <t>Event</t>
        </is>
      </c>
      <c r="B31" s="12" t="n">
        <v>0</v>
      </c>
      <c r="C31" s="11" t="inlineStr"/>
      <c r="D31" s="11" t="inlineStr"/>
      <c r="E31" s="11" t="inlineStr">
        <is>
          <t>Vina/Henry</t>
        </is>
      </c>
      <c r="F31" s="11" t="inlineStr"/>
      <c r="G31" s="11" t="inlineStr">
        <is>
          <t>Acara khusus</t>
        </is>
      </c>
    </row>
    <row r="32">
      <c r="A32" s="13" t="inlineStr">
        <is>
          <t>Other</t>
        </is>
      </c>
      <c r="B32" s="14" t="n">
        <v>0</v>
      </c>
      <c r="C32" s="13" t="inlineStr"/>
      <c r="D32" s="13" t="inlineStr"/>
      <c r="E32" s="13" t="inlineStr">
        <is>
          <t>Vina/Henry</t>
        </is>
      </c>
      <c r="F32" s="13" t="inlineStr"/>
      <c r="G32" s="13" t="inlineStr">
        <is>
          <t>Lain-lain</t>
        </is>
      </c>
    </row>
    <row r="33">
      <c r="A33" s="33" t="inlineStr">
        <is>
          <t>TOTAL PENGELUARAN</t>
        </is>
      </c>
      <c r="B33" s="34">
        <f>SUM(B15:B32)</f>
        <v/>
      </c>
      <c r="C33" s="35" t="n"/>
      <c r="D33" s="35" t="n"/>
      <c r="E33" s="35" t="n"/>
      <c r="F33" s="35" t="n"/>
      <c r="G33" s="35" t="n"/>
    </row>
    <row r="34">
      <c r="A34" s="36" t="inlineStr">
        <is>
          <t>💵 SISA UNTUK NABUNG</t>
        </is>
      </c>
      <c r="B34" s="37">
        <f>IF(C11-B33&gt;0,C11-B33,"⚠️ Defisit")</f>
        <v/>
      </c>
      <c r="C34" s="38" t="n"/>
      <c r="D34" s="38" t="n"/>
      <c r="E34" s="38" t="n"/>
      <c r="F34" s="38" t="n"/>
      <c r="G34" s="38" t="n"/>
    </row>
  </sheetData>
  <mergeCells count="4">
    <mergeCell ref="A13:G13"/>
    <mergeCell ref="A2:G2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7043"/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4" customWidth="1" min="5" max="5"/>
    <col width="16" customWidth="1" min="6" max="6"/>
  </cols>
  <sheetData>
    <row r="1" ht="40" customHeight="1">
      <c r="A1" s="27" t="inlineStr">
        <is>
          <t>📊 Laporan Keuangan Bulanan</t>
        </is>
      </c>
    </row>
    <row r="3">
      <c r="A3" s="8" t="inlineStr">
        <is>
          <t>💎 Ringkasan</t>
        </is>
      </c>
      <c r="B3" s="9" t="n"/>
      <c r="C3" s="9" t="n"/>
      <c r="D3" s="9" t="n"/>
    </row>
    <row r="4">
      <c r="A4" s="39" t="inlineStr">
        <is>
          <t>Total Pemasukan (Bulan Ini)</t>
        </is>
      </c>
      <c r="B4" s="11" t="n">
        <v>0</v>
      </c>
      <c r="C4" s="40" t="n"/>
      <c r="D4" s="40" t="n"/>
    </row>
    <row r="5">
      <c r="A5" s="39" t="inlineStr">
        <is>
          <t>Total Pengeluaran (Bulan Ini)</t>
        </is>
      </c>
      <c r="B5" s="11" t="n">
        <v>0</v>
      </c>
      <c r="C5" s="40" t="n"/>
      <c r="D5" s="40" t="n"/>
    </row>
    <row r="6">
      <c r="A6" s="39" t="inlineStr">
        <is>
          <t>Total Pindah Pos (Bulan Ini)</t>
        </is>
      </c>
      <c r="B6" s="11" t="n">
        <v>0</v>
      </c>
      <c r="C6" s="40" t="n"/>
      <c r="D6" s="40" t="n"/>
    </row>
    <row r="7">
      <c r="A7" s="39" t="inlineStr">
        <is>
          <t>Sisa / Nabung</t>
        </is>
      </c>
      <c r="B7" s="11" t="n">
        <v>0</v>
      </c>
      <c r="C7" s="40" t="n"/>
      <c r="D7" s="40" t="n"/>
    </row>
    <row r="8">
      <c r="A8" s="39" t="inlineStr">
        <is>
          <t>Rasio Nabung</t>
        </is>
      </c>
      <c r="B8" s="11" t="inlineStr"/>
      <c r="C8" s="40" t="n"/>
      <c r="D8" s="40" t="n"/>
    </row>
    <row r="11">
      <c r="A11" s="18" t="inlineStr">
        <is>
          <t>🔍 Over Budget Check</t>
        </is>
      </c>
      <c r="B11" s="19" t="n"/>
      <c r="C11" s="19" t="n"/>
      <c r="D11" s="19" t="n"/>
      <c r="E11" s="19" t="n"/>
      <c r="F11" s="19" t="n"/>
      <c r="G11" s="19" t="n"/>
      <c r="H11" s="19" t="n"/>
    </row>
    <row r="12">
      <c r="A12" s="20" t="inlineStr">
        <is>
          <t>Kategori</t>
        </is>
      </c>
      <c r="B12" s="20" t="inlineStr">
        <is>
          <t>Budget</t>
        </is>
      </c>
      <c r="C12" s="20" t="inlineStr">
        <is>
          <t>Realisasi</t>
        </is>
      </c>
      <c r="D12" s="20" t="inlineStr">
        <is>
          <t>Selisih</t>
        </is>
      </c>
      <c r="E12" s="20" t="inlineStr">
        <is>
          <t>% Terpakai</t>
        </is>
      </c>
      <c r="F12" s="20" t="inlineStr">
        <is>
          <t>Status</t>
        </is>
      </c>
    </row>
    <row r="13">
      <c r="A13" s="13" t="inlineStr">
        <is>
          <t>Food</t>
        </is>
      </c>
      <c r="B13" s="14" t="n">
        <v>0</v>
      </c>
      <c r="C13" s="14" t="n">
        <v>0</v>
      </c>
      <c r="D13" s="14">
        <f>IF(B13=0,"",B13-C13)</f>
        <v/>
      </c>
      <c r="E13" s="21">
        <f>IF(B13=0,"",C13/B13)</f>
        <v/>
      </c>
      <c r="F13" s="13">
        <f>IF(D13="","",IF(D13&lt;0,"🔴 OVER","✅ ON TRACK"))</f>
        <v/>
      </c>
    </row>
    <row r="14">
      <c r="A14" s="13" t="inlineStr">
        <is>
          <t>Groceries</t>
        </is>
      </c>
      <c r="B14" s="14" t="n">
        <v>0</v>
      </c>
      <c r="C14" s="14" t="n">
        <v>0</v>
      </c>
      <c r="D14" s="14">
        <f>IF(B14=0,"",B14-C14)</f>
        <v/>
      </c>
      <c r="E14" s="21">
        <f>IF(B14=0,"",C14/B14)</f>
        <v/>
      </c>
      <c r="F14" s="13">
        <f>IF(D14="","",IF(D14&lt;0,"🔴 OVER","✅ ON TRACK"))</f>
        <v/>
      </c>
    </row>
    <row r="15">
      <c r="A15" s="13" t="inlineStr">
        <is>
          <t>Health &amp; Medical</t>
        </is>
      </c>
      <c r="B15" s="14" t="n">
        <v>0</v>
      </c>
      <c r="C15" s="14" t="n">
        <v>0</v>
      </c>
      <c r="D15" s="14">
        <f>IF(B15=0,"",B15-C15)</f>
        <v/>
      </c>
      <c r="E15" s="21">
        <f>IF(B15=0,"",C15/B15)</f>
        <v/>
      </c>
      <c r="F15" s="13">
        <f>IF(D15="","",IF(D15&lt;0,"🔴 OVER","✅ ON TRACK"))</f>
        <v/>
      </c>
    </row>
    <row r="16">
      <c r="A16" s="13" t="inlineStr">
        <is>
          <t>Home</t>
        </is>
      </c>
      <c r="B16" s="14" t="n">
        <v>0</v>
      </c>
      <c r="C16" s="14" t="n">
        <v>0</v>
      </c>
      <c r="D16" s="14">
        <f>IF(B16=0,"",B16-C16)</f>
        <v/>
      </c>
      <c r="E16" s="21">
        <f>IF(B16=0,"",C16/B16)</f>
        <v/>
      </c>
      <c r="F16" s="13">
        <f>IF(D16="","",IF(D16&lt;0,"🔴 OVER","✅ ON TRACK"))</f>
        <v/>
      </c>
    </row>
    <row r="17">
      <c r="A17" s="13" t="inlineStr">
        <is>
          <t>Travel Expenses</t>
        </is>
      </c>
      <c r="B17" s="14" t="n">
        <v>0</v>
      </c>
      <c r="C17" s="14" t="n">
        <v>0</v>
      </c>
      <c r="D17" s="14">
        <f>IF(B17=0,"",B17-C17)</f>
        <v/>
      </c>
      <c r="E17" s="21">
        <f>IF(B17=0,"",C17/B17)</f>
        <v/>
      </c>
      <c r="F17" s="13">
        <f>IF(D17="","",IF(D17&lt;0,"🔴 OVER","✅ ON TRACK"))</f>
        <v/>
      </c>
    </row>
    <row r="18">
      <c r="A18" s="13" t="inlineStr">
        <is>
          <t>Utilities</t>
        </is>
      </c>
      <c r="B18" s="14" t="n">
        <v>0</v>
      </c>
      <c r="C18" s="14" t="n">
        <v>0</v>
      </c>
      <c r="D18" s="14">
        <f>IF(B18=0,"",B18-C18)</f>
        <v/>
      </c>
      <c r="E18" s="21">
        <f>IF(B18=0,"",C18/B18)</f>
        <v/>
      </c>
      <c r="F18" s="13">
        <f>IF(D18="","",IF(D18&lt;0,"🔴 OVER","✅ ON TRACK"))</f>
        <v/>
      </c>
    </row>
    <row r="19">
      <c r="A19" s="13" t="inlineStr">
        <is>
          <t>Phone Credit</t>
        </is>
      </c>
      <c r="B19" s="14" t="n">
        <v>0</v>
      </c>
      <c r="C19" s="14" t="n">
        <v>0</v>
      </c>
      <c r="D19" s="14">
        <f>IF(B19=0,"",B19-C19)</f>
        <v/>
      </c>
      <c r="E19" s="21">
        <f>IF(B19=0,"",C19/B19)</f>
        <v/>
      </c>
      <c r="F19" s="13">
        <f>IF(D19="","",IF(D19&lt;0,"🔴 OVER","✅ ON TRACK"))</f>
        <v/>
      </c>
    </row>
    <row r="20">
      <c r="A20" s="13" t="inlineStr">
        <is>
          <t>Entertainment</t>
        </is>
      </c>
      <c r="B20" s="14" t="n">
        <v>0</v>
      </c>
      <c r="C20" s="14" t="n">
        <v>0</v>
      </c>
      <c r="D20" s="14">
        <f>IF(B20=0,"",B20-C20)</f>
        <v/>
      </c>
      <c r="E20" s="21">
        <f>IF(B20=0,"",C20/B20)</f>
        <v/>
      </c>
      <c r="F20" s="13">
        <f>IF(D20="","",IF(D20&lt;0,"🔴 OVER","✅ ON TRACK"))</f>
        <v/>
      </c>
    </row>
    <row r="21">
      <c r="A21" s="13" t="inlineStr">
        <is>
          <t>Skin &amp; Body Care</t>
        </is>
      </c>
      <c r="B21" s="14" t="n">
        <v>0</v>
      </c>
      <c r="C21" s="14" t="n">
        <v>0</v>
      </c>
      <c r="D21" s="14">
        <f>IF(B21=0,"",B21-C21)</f>
        <v/>
      </c>
      <c r="E21" s="21">
        <f>IF(B21=0,"",C21/B21)</f>
        <v/>
      </c>
      <c r="F21" s="13">
        <f>IF(D21="","",IF(D21&lt;0,"🔴 OVER","✅ ON TRACK"))</f>
        <v/>
      </c>
    </row>
    <row r="22">
      <c r="A22" s="13" t="inlineStr">
        <is>
          <t>Hiroshi's</t>
        </is>
      </c>
      <c r="B22" s="14" t="n">
        <v>0</v>
      </c>
      <c r="C22" s="14" t="n">
        <v>0</v>
      </c>
      <c r="D22" s="14">
        <f>IF(B22=0,"",B22-C22)</f>
        <v/>
      </c>
      <c r="E22" s="21">
        <f>IF(B22=0,"",C22/B22)</f>
        <v/>
      </c>
      <c r="F22" s="13">
        <f>IF(D22="","",IF(D22&lt;0,"🔴 OVER","✅ ON TRACK"))</f>
        <v/>
      </c>
    </row>
    <row r="23">
      <c r="A23" s="13" t="inlineStr">
        <is>
          <t>Mpi's</t>
        </is>
      </c>
      <c r="B23" s="14" t="n">
        <v>0</v>
      </c>
      <c r="C23" s="14" t="n">
        <v>0</v>
      </c>
      <c r="D23" s="14">
        <f>IF(B23=0,"",B23-C23)</f>
        <v/>
      </c>
      <c r="E23" s="21">
        <f>IF(B23=0,"",C23/B23)</f>
        <v/>
      </c>
      <c r="F23" s="13">
        <f>IF(D23="","",IF(D23&lt;0,"🔴 OVER","✅ ON TRACK"))</f>
        <v/>
      </c>
    </row>
    <row r="24">
      <c r="A24" s="13" t="inlineStr">
        <is>
          <t>Henry's</t>
        </is>
      </c>
      <c r="B24" s="14" t="n">
        <v>0</v>
      </c>
      <c r="C24" s="14" t="n">
        <v>0</v>
      </c>
      <c r="D24" s="14">
        <f>IF(B24=0,"",B24-C24)</f>
        <v/>
      </c>
      <c r="E24" s="21">
        <f>IF(B24=0,"",C24/B24)</f>
        <v/>
      </c>
      <c r="F24" s="13">
        <f>IF(D24="","",IF(D24&lt;0,"🔴 OVER","✅ ON TRACK"))</f>
        <v/>
      </c>
    </row>
    <row r="25">
      <c r="A25" s="13" t="inlineStr">
        <is>
          <t>Zakat</t>
        </is>
      </c>
      <c r="B25" s="14" t="n">
        <v>0</v>
      </c>
      <c r="C25" s="14" t="n">
        <v>0</v>
      </c>
      <c r="D25" s="14">
        <f>IF(B25=0,"",B25-C25)</f>
        <v/>
      </c>
      <c r="E25" s="21">
        <f>IF(B25=0,"",C25/B25)</f>
        <v/>
      </c>
      <c r="F25" s="13">
        <f>IF(D25="","",IF(D25&lt;0,"🔴 OVER","✅ ON TRACK"))</f>
        <v/>
      </c>
    </row>
    <row r="26">
      <c r="A26" s="13" t="inlineStr">
        <is>
          <t>Admin Fee</t>
        </is>
      </c>
      <c r="B26" s="14" t="n">
        <v>0</v>
      </c>
      <c r="C26" s="14" t="n">
        <v>0</v>
      </c>
      <c r="D26" s="14">
        <f>IF(B26=0,"",B26-C26)</f>
        <v/>
      </c>
      <c r="E26" s="21">
        <f>IF(B26=0,"",C26/B26)</f>
        <v/>
      </c>
      <c r="F26" s="13">
        <f>IF(D26="","",IF(D26&lt;0,"🔴 OVER","✅ ON TRACK"))</f>
        <v/>
      </c>
    </row>
    <row r="27">
      <c r="A27" s="13" t="inlineStr">
        <is>
          <t>Gifts</t>
        </is>
      </c>
      <c r="B27" s="14" t="n">
        <v>0</v>
      </c>
      <c r="C27" s="14" t="n">
        <v>0</v>
      </c>
      <c r="D27" s="14">
        <f>IF(B27=0,"",B27-C27)</f>
        <v/>
      </c>
      <c r="E27" s="21">
        <f>IF(B27=0,"",C27/B27)</f>
        <v/>
      </c>
      <c r="F27" s="13">
        <f>IF(D27="","",IF(D27&lt;0,"🔴 OVER","✅ ON TRACK"))</f>
        <v/>
      </c>
    </row>
    <row r="28">
      <c r="A28" s="13" t="inlineStr">
        <is>
          <t>Public Transportation</t>
        </is>
      </c>
      <c r="B28" s="14" t="n">
        <v>0</v>
      </c>
      <c r="C28" s="14" t="n">
        <v>0</v>
      </c>
      <c r="D28" s="14">
        <f>IF(B28=0,"",B28-C28)</f>
        <v/>
      </c>
      <c r="E28" s="21">
        <f>IF(B28=0,"",C28/B28)</f>
        <v/>
      </c>
      <c r="F28" s="13">
        <f>IF(D28="","",IF(D28&lt;0,"🔴 OVER","✅ ON TRACK"))</f>
        <v/>
      </c>
    </row>
    <row r="29">
      <c r="A29" s="13" t="inlineStr">
        <is>
          <t>Event</t>
        </is>
      </c>
      <c r="B29" s="14" t="n">
        <v>0</v>
      </c>
      <c r="C29" s="14" t="n">
        <v>0</v>
      </c>
      <c r="D29" s="14">
        <f>IF(B29=0,"",B29-C29)</f>
        <v/>
      </c>
      <c r="E29" s="21">
        <f>IF(B29=0,"",C29/B29)</f>
        <v/>
      </c>
      <c r="F29" s="13">
        <f>IF(D29="","",IF(D29&lt;0,"🔴 OVER","✅ ON TRACK"))</f>
        <v/>
      </c>
    </row>
    <row r="30">
      <c r="A30" s="13" t="inlineStr">
        <is>
          <t>Other</t>
        </is>
      </c>
      <c r="B30" s="14" t="n">
        <v>0</v>
      </c>
      <c r="C30" s="14" t="n">
        <v>0</v>
      </c>
      <c r="D30" s="14">
        <f>IF(B30=0,"",B30-C30)</f>
        <v/>
      </c>
      <c r="E30" s="21">
        <f>IF(B30=0,"",C30/B30)</f>
        <v/>
      </c>
      <c r="F30" s="13">
        <f>IF(D30="","",IF(D30&lt;0,"🔴 OVER","✅ ON TRACK"))</f>
        <v/>
      </c>
    </row>
    <row r="31">
      <c r="A31" s="22" t="inlineStr">
        <is>
          <t>TOTAL</t>
        </is>
      </c>
      <c r="B31" s="23">
        <f>SUM(B13:B30)</f>
        <v/>
      </c>
      <c r="C31" s="23">
        <f>SUM(C13:C30)</f>
        <v/>
      </c>
      <c r="D31" s="23">
        <f>SUM(D13:D30)</f>
        <v/>
      </c>
      <c r="E31" s="24" t="n"/>
      <c r="F31" s="24" t="n"/>
    </row>
  </sheetData>
  <mergeCells count="8">
    <mergeCell ref="B5:D5"/>
    <mergeCell ref="B8:D8"/>
    <mergeCell ref="A3:D3"/>
    <mergeCell ref="B4:D4"/>
    <mergeCell ref="A11:H11"/>
    <mergeCell ref="A1:H1"/>
    <mergeCell ref="B7:D7"/>
    <mergeCell ref="B6:D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6BB6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 ht="40" customHeight="1">
      <c r="A1" s="27" t="inlineStr">
        <is>
          <t>💰 Detail Monitoring Pos Uang</t>
        </is>
      </c>
    </row>
    <row r="2">
      <c r="A2" s="2" t="inlineStr">
        <is>
          <t>Update saldo tiap akhir bulan atau setelah ada perubahan besar</t>
        </is>
      </c>
    </row>
    <row r="4">
      <c r="A4" s="10" t="inlineStr">
        <is>
          <t>Pos Uang</t>
        </is>
      </c>
      <c r="B4" s="10" t="inlineStr">
        <is>
          <t>Saldo Skrg</t>
        </is>
      </c>
      <c r="C4" s="10" t="inlineStr">
        <is>
          <t>Saldo Awal Bulan</t>
        </is>
      </c>
      <c r="D4" s="10" t="inlineStr">
        <is>
          <t>Mutasi</t>
        </is>
      </c>
      <c r="E4" s="10" t="inlineStr">
        <is>
          <t>Target</t>
        </is>
      </c>
      <c r="F4" s="10" t="inlineStr">
        <is>
          <t>Catatan</t>
        </is>
      </c>
    </row>
    <row r="5">
      <c r="A5" s="11" t="inlineStr">
        <is>
          <t>Blu</t>
        </is>
      </c>
      <c r="B5" s="12" t="n">
        <v>0</v>
      </c>
      <c r="C5" s="12" t="n">
        <v>0</v>
      </c>
      <c r="D5" s="12">
        <f>IF(AND(B5=0,C5=0),"",B5-C5)</f>
        <v/>
      </c>
      <c r="E5" s="11" t="inlineStr"/>
      <c r="F5" s="11" t="inlineStr">
        <is>
          <t>Rekening transaksi harian</t>
        </is>
      </c>
    </row>
    <row r="6">
      <c r="A6" s="13" t="inlineStr">
        <is>
          <t>Comfort Life</t>
        </is>
      </c>
      <c r="B6" s="14" t="n">
        <v>0</v>
      </c>
      <c r="C6" s="14" t="n">
        <v>0</v>
      </c>
      <c r="D6" s="14">
        <f>IF(AND(B6=0,C6=0),"",B6-C6)</f>
        <v/>
      </c>
      <c r="E6" s="13" t="inlineStr"/>
      <c r="F6" s="13" t="inlineStr">
        <is>
          <t>Dana darurat</t>
        </is>
      </c>
    </row>
    <row r="7">
      <c r="A7" s="11" t="inlineStr">
        <is>
          <t>Hiroshi</t>
        </is>
      </c>
      <c r="B7" s="12" t="n">
        <v>0</v>
      </c>
      <c r="C7" s="12" t="n">
        <v>0</v>
      </c>
      <c r="D7" s="12">
        <f>IF(AND(B7=0,C7=0),"",B7-C7)</f>
        <v/>
      </c>
      <c r="E7" s="11" t="inlineStr"/>
      <c r="F7" s="11" t="inlineStr">
        <is>
          <t>Tabungan Hiro</t>
        </is>
      </c>
    </row>
    <row r="8">
      <c r="A8" s="13" t="inlineStr">
        <is>
          <t>Education</t>
        </is>
      </c>
      <c r="B8" s="14" t="n">
        <v>0</v>
      </c>
      <c r="C8" s="14" t="n">
        <v>0</v>
      </c>
      <c r="D8" s="14">
        <f>IF(AND(B8=0,C8=0),"",B8-C8)</f>
        <v/>
      </c>
      <c r="E8" s="13" t="inlineStr"/>
      <c r="F8" s="13" t="inlineStr">
        <is>
          <t>Tabungan pendidikan</t>
        </is>
      </c>
    </row>
    <row r="9">
      <c r="A9" s="11" t="inlineStr">
        <is>
          <t>Hiro's Room</t>
        </is>
      </c>
      <c r="B9" s="12" t="n">
        <v>0</v>
      </c>
      <c r="C9" s="12" t="n">
        <v>0</v>
      </c>
      <c r="D9" s="12">
        <f>IF(AND(B9=0,C9=0),"",B9-C9)</f>
        <v/>
      </c>
      <c r="E9" s="11" t="inlineStr"/>
      <c r="F9" s="11" t="inlineStr">
        <is>
          <t>Tabungan kamar/ruang Hiro</t>
        </is>
      </c>
    </row>
    <row r="10">
      <c r="A10" s="13" t="inlineStr">
        <is>
          <t>Fidyah</t>
        </is>
      </c>
      <c r="B10" s="14" t="n">
        <v>0</v>
      </c>
      <c r="C10" s="14" t="n">
        <v>0</v>
      </c>
      <c r="D10" s="14">
        <f>IF(AND(B10=0,C10=0),"",B10-C10)</f>
        <v/>
      </c>
      <c r="E10" s="13" t="inlineStr"/>
      <c r="F10" s="13" t="inlineStr">
        <is>
          <t>Dana sosial/amal</t>
        </is>
      </c>
    </row>
    <row r="11">
      <c r="A11" s="11" t="inlineStr">
        <is>
          <t>Cash</t>
        </is>
      </c>
      <c r="B11" s="12" t="n">
        <v>0</v>
      </c>
      <c r="C11" s="12" t="n">
        <v>0</v>
      </c>
      <c r="D11" s="12">
        <f>IF(AND(B11=0,C11=0),"",B11-C11)</f>
        <v/>
      </c>
      <c r="E11" s="11" t="inlineStr"/>
      <c r="F11" s="11" t="inlineStr">
        <is>
          <t>Uang tunai fisik</t>
        </is>
      </c>
    </row>
    <row r="12">
      <c r="A12" s="13" t="inlineStr">
        <is>
          <t>E-money</t>
        </is>
      </c>
      <c r="B12" s="14" t="n">
        <v>0</v>
      </c>
      <c r="C12" s="14" t="n">
        <v>0</v>
      </c>
      <c r="D12" s="14">
        <f>IF(AND(B12=0,C12=0),"",B12-C12)</f>
        <v/>
      </c>
      <c r="E12" s="13" t="inlineStr"/>
      <c r="F12" s="13" t="inlineStr">
        <is>
          <t>GoPay/OVO/dll</t>
        </is>
      </c>
    </row>
    <row r="13">
      <c r="A13" s="15" t="inlineStr">
        <is>
          <t>TOTAL KAS</t>
        </is>
      </c>
      <c r="B13" s="16">
        <f>SUM(B5:B12)</f>
        <v/>
      </c>
      <c r="C13" s="30">
        <f>SUM(C5:C12)</f>
        <v/>
      </c>
      <c r="D13" s="30">
        <f>SUM(D5:D12)</f>
        <v/>
      </c>
      <c r="E13" s="17" t="n"/>
      <c r="F13" s="17" t="n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E9E9E"/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35" customHeight="1">
      <c r="A1" s="27" t="inlineStr">
        <is>
          <t>📖 Panduan Penggunaan</t>
        </is>
      </c>
    </row>
    <row r="2">
      <c r="A2" s="2" t="inlineStr">
        <is>
          <t>Cara input transaksi via chat Telegram ke Hermes Agent</t>
        </is>
      </c>
    </row>
    <row r="4">
      <c r="A4" s="41" t="inlineStr">
        <is>
          <t>📝 FORMAT INPUT VIA CHAT</t>
        </is>
      </c>
      <c r="B4" s="42" t="n"/>
    </row>
    <row r="5" ht="36" customHeight="1">
      <c r="A5" s="43" t="inlineStr">
        <is>
          <t>Pemasukan:</t>
        </is>
      </c>
      <c r="B5" s="44" t="inlineStr">
        <is>
          <t>tgl | masuk | kategori | keterangan | nominal | pos
Contoh: 25/6 | masuk | Paycheck | Gaji Juni | 5.000.000 | Blu</t>
        </is>
      </c>
    </row>
    <row r="6" ht="36" customHeight="1">
      <c r="A6" s="43" t="inlineStr">
        <is>
          <t>Pengeluaran:</t>
        </is>
      </c>
      <c r="B6" s="44" t="inlineStr">
        <is>
          <t>tgl | keluar | kategori | keterangan | nominal | pos
Contoh: 25/6 | keluar | Food | Makan siang | 35.000 | Cash</t>
        </is>
      </c>
    </row>
    <row r="7" ht="36" customHeight="1">
      <c r="A7" s="43" t="inlineStr">
        <is>
          <t>Pindah Pos:</t>
        </is>
      </c>
      <c r="B7" s="44" t="inlineStr">
        <is>
          <t>tgl | pindah | - | keterangan | nominal | posA → posB
Contoh: 25/6 | pindah | - | Nabung darurat | 500.000 | Blu → Comfort Life</t>
        </is>
      </c>
    </row>
    <row r="8" ht="20" customHeight="1">
      <c r="A8" s="43" t="inlineStr">
        <is>
          <t>📸 Foto Struk:</t>
        </is>
      </c>
      <c r="B8" s="44" t="inlineStr">
        <is>
          <t>Kirim foto struk → Hermes baca otomatis &amp; konfirmasi sebelum nyimpan</t>
        </is>
      </c>
    </row>
    <row r="9" ht="36" customHeight="1">
      <c r="A9" s="43" t="inlineStr">
        <is>
          <t>✏️ Edit Entri:</t>
        </is>
      </c>
      <c r="B9" s="44" t="inlineStr">
        <is>
          <t>Ketik: edit transaksi [ID] — ganti [kolom] [nilai baru]
Contoh: edit transaksi 5 — ganti nominal 15000</t>
        </is>
      </c>
    </row>
    <row r="10" ht="36" customHeight="1">
      <c r="A10" s="43" t="inlineStr">
        <is>
          <t>🗑️ Hapus:</t>
        </is>
      </c>
      <c r="B10" s="44" t="inlineStr">
        <is>
          <t>Ketik: hapus transaksi [ID]
(Hermes akan konfirmasi dulu sebelum menghapus)</t>
        </is>
      </c>
    </row>
    <row r="12">
      <c r="A12" s="41" t="inlineStr">
        <is>
          <t>📌 KATEGORI PEMASUKAN</t>
        </is>
      </c>
      <c r="B12" s="42" t="n"/>
    </row>
    <row r="13" ht="20" customHeight="1">
      <c r="A13" s="43" t="inlineStr">
        <is>
          <t>Paycheck</t>
        </is>
      </c>
      <c r="B13" s="44" t="inlineStr">
        <is>
          <t>Gaji utama</t>
        </is>
      </c>
    </row>
    <row r="14" ht="20" customHeight="1">
      <c r="A14" s="43" t="inlineStr">
        <is>
          <t>Interest</t>
        </is>
      </c>
      <c r="B14" s="44" t="inlineStr">
        <is>
          <t>Bunga tabungan</t>
        </is>
      </c>
    </row>
    <row r="15" ht="20" customHeight="1">
      <c r="A15" s="43" t="inlineStr">
        <is>
          <t>Repayment</t>
        </is>
      </c>
      <c r="B15" s="44" t="inlineStr">
        <is>
          <t>Uang kembali / pinjaman dibayar</t>
        </is>
      </c>
    </row>
    <row r="16" ht="20" customHeight="1">
      <c r="A16" s="43" t="inlineStr">
        <is>
          <t>Gifts</t>
        </is>
      </c>
      <c r="B16" s="44" t="inlineStr">
        <is>
          <t>Hadiah</t>
        </is>
      </c>
    </row>
    <row r="17" ht="20" customHeight="1">
      <c r="A17" s="43" t="inlineStr">
        <is>
          <t>Other</t>
        </is>
      </c>
      <c r="B17" s="44" t="inlineStr">
        <is>
          <t>Pemasukan lain-lain</t>
        </is>
      </c>
    </row>
    <row r="19">
      <c r="A19" s="41" t="inlineStr">
        <is>
          <t>📌 KATEGORI PENGELUARAN</t>
        </is>
      </c>
      <c r="B19" s="42" t="n"/>
    </row>
    <row r="20" ht="20" customHeight="1">
      <c r="A20" s="43" t="inlineStr">
        <is>
          <t>Food</t>
        </is>
      </c>
      <c r="B20" s="44" t="inlineStr">
        <is>
          <t>Makan sehari-hari, jajan (PIC: Vina/Henry)</t>
        </is>
      </c>
    </row>
    <row r="21" ht="20" customHeight="1">
      <c r="A21" s="43" t="inlineStr">
        <is>
          <t>Groceries</t>
        </is>
      </c>
      <c r="B21" s="44" t="inlineStr">
        <is>
          <t>Belanja bahan masakan (PIC: Vina)</t>
        </is>
      </c>
    </row>
    <row r="22" ht="20" customHeight="1">
      <c r="A22" s="43" t="inlineStr">
        <is>
          <t>Health &amp; Medical</t>
        </is>
      </c>
      <c r="B22" s="44" t="inlineStr">
        <is>
          <t>Obat, vitamin, dokter (PIC: Vina)</t>
        </is>
      </c>
    </row>
    <row r="23" ht="20" customHeight="1">
      <c r="A23" s="43" t="inlineStr">
        <is>
          <t>Home</t>
        </is>
      </c>
      <c r="B23" s="44" t="inlineStr">
        <is>
          <t>Perabot, kebersihan rumah (PIC: Henry)</t>
        </is>
      </c>
    </row>
    <row r="24" ht="20" customHeight="1">
      <c r="A24" s="43" t="inlineStr">
        <is>
          <t>Travel Expenses</t>
        </is>
      </c>
      <c r="B24" s="44" t="inlineStr">
        <is>
          <t>Tol, bensin, tiket (PIC: Henry)</t>
        </is>
      </c>
    </row>
    <row r="25" ht="20" customHeight="1">
      <c r="A25" s="43" t="inlineStr">
        <is>
          <t>Utilities</t>
        </is>
      </c>
      <c r="B25" s="44" t="inlineStr">
        <is>
          <t>Listrik, air, wifi (PIC: Henry)</t>
        </is>
      </c>
    </row>
    <row r="26" ht="20" customHeight="1">
      <c r="A26" s="43" t="inlineStr">
        <is>
          <t>Phone Credit</t>
        </is>
      </c>
      <c r="B26" s="44" t="inlineStr">
        <is>
          <t>Pulsa, paket data (PIC: Vina/Henry)</t>
        </is>
      </c>
    </row>
    <row r="27" ht="20" customHeight="1">
      <c r="A27" s="43" t="inlineStr">
        <is>
          <t>Entertainment</t>
        </is>
      </c>
      <c r="B27" s="44" t="inlineStr">
        <is>
          <t>Netflix, Spotify, hiburan (PIC: Vina/Henry)</t>
        </is>
      </c>
    </row>
    <row r="28" ht="20" customHeight="1">
      <c r="A28" s="43" t="inlineStr">
        <is>
          <t>Skin &amp; Body Care</t>
        </is>
      </c>
      <c r="B28" s="44" t="inlineStr">
        <is>
          <t>Skincare, kosmetik (PIC: Vina)</t>
        </is>
      </c>
    </row>
    <row r="29" ht="20" customHeight="1">
      <c r="A29" s="43" t="inlineStr">
        <is>
          <t>Hiroshi's</t>
        </is>
      </c>
      <c r="B29" s="44" t="inlineStr">
        <is>
          <t>Keperluan Hiro (PIC: Vina)</t>
        </is>
      </c>
    </row>
    <row r="30" ht="20" customHeight="1">
      <c r="A30" s="43" t="inlineStr">
        <is>
          <t>Mpi's</t>
        </is>
      </c>
      <c r="B30" s="44" t="inlineStr">
        <is>
          <t>Keperluan Mpi (PIC: Vina)</t>
        </is>
      </c>
    </row>
    <row r="31" ht="20" customHeight="1">
      <c r="A31" s="43" t="inlineStr">
        <is>
          <t>Henry's</t>
        </is>
      </c>
      <c r="B31" s="44" t="inlineStr">
        <is>
          <t>Keperluan pribadi Henry (PIC: Henry)</t>
        </is>
      </c>
    </row>
    <row r="32" ht="20" customHeight="1">
      <c r="A32" s="43" t="inlineStr">
        <is>
          <t>Zakat</t>
        </is>
      </c>
      <c r="B32" s="44" t="inlineStr">
        <is>
          <t>Zakat, infaq, sedekah (PIC: Henry)</t>
        </is>
      </c>
    </row>
    <row r="33" ht="20" customHeight="1">
      <c r="A33" s="43" t="inlineStr">
        <is>
          <t>Gifts</t>
        </is>
      </c>
      <c r="B33" s="44" t="inlineStr">
        <is>
          <t>Hadiah (PIC: Vina/Henry)</t>
        </is>
      </c>
    </row>
    <row r="34" ht="20" customHeight="1">
      <c r="A34" s="43" t="inlineStr">
        <is>
          <t>Public Transportation</t>
        </is>
      </c>
      <c r="B34" s="44" t="inlineStr">
        <is>
          <t>Transport umum (PIC: Henry)</t>
        </is>
      </c>
    </row>
    <row r="35" ht="20" customHeight="1">
      <c r="A35" s="43" t="inlineStr">
        <is>
          <t>Event</t>
        </is>
      </c>
      <c r="B35" s="44" t="inlineStr">
        <is>
          <t>Acara khusus (PIC: Vina/Henry)</t>
        </is>
      </c>
    </row>
    <row r="36" ht="20" customHeight="1">
      <c r="A36" s="43" t="inlineStr">
        <is>
          <t>Other</t>
        </is>
      </c>
      <c r="B36" s="44" t="inlineStr">
        <is>
          <t>Lain-lain (PIC: Vina/Henry)</t>
        </is>
      </c>
    </row>
    <row r="38">
      <c r="A38" s="41" t="inlineStr">
        <is>
          <t>🔄 FITUR EDIT ENTRI</t>
        </is>
      </c>
      <c r="B38" s="42" t="n"/>
    </row>
    <row r="39" ht="36" customHeight="1">
      <c r="A39" s="43" t="inlineStr">
        <is>
          <t>Via Chat:</t>
        </is>
      </c>
      <c r="B39" s="44" t="inlineStr">
        <is>
          <t>Ketik: edit transaksi [ID] — ganti [kolom] [nilai baru]
Contoh: edit transaksi 5 — ganti kategori Groceries</t>
        </is>
      </c>
    </row>
    <row r="40" ht="20" customHeight="1">
      <c r="A40" s="43" t="inlineStr">
        <is>
          <t>Langsung di Excel:</t>
        </is>
      </c>
      <c r="B40" s="44" t="inlineStr">
        <is>
          <t>Buka sheet Transaksi → cari ID → edit langsung</t>
        </is>
      </c>
    </row>
    <row r="41" ht="20" customHeight="1">
      <c r="A41" s="43" t="inlineStr">
        <is>
          <t>Hapus:</t>
        </is>
      </c>
      <c r="B41" s="44" t="inlineStr">
        <is>
          <t>Ketik: hapus transaksi [ID] (Hermes konfirmasi dulu)</t>
        </is>
      </c>
    </row>
  </sheetData>
  <mergeCells count="6">
    <mergeCell ref="A4:B4"/>
    <mergeCell ref="A38:B38"/>
    <mergeCell ref="A2:B2"/>
    <mergeCell ref="A19:B19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2026-06-25T17:55:05Z</dcterms:created>
  <dcterms:modified xsi:type="dcterms:W3CDTF">2026-06-25T17:55:05Z</dcterms:modified>
</cp:coreProperties>
</file>